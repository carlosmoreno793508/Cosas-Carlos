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unto de partida" sheetId="2" state="visible" r:id="rId4"/>
    <sheet name="Objetivos" sheetId="3" state="visible" r:id="rId5"/>
    <sheet name="Segmentos" sheetId="4" state="visible" r:id="rId6"/>
    <sheet name="Compradores" sheetId="5" state="visible" r:id="rId7"/>
    <sheet name="Posicionamiento" sheetId="6" state="visible" r:id="rId8"/>
    <sheet name="Mezcla 4P" sheetId="7" state="visible" r:id="rId9"/>
    <sheet name="Fases México" sheetId="8" state="visible" r:id="rId10"/>
    <sheet name="ABM 17 cuentas" sheetId="9" state="visible" r:id="rId11"/>
    <sheet name="Canales" sheetId="10" state="visible" r:id="rId12"/>
    <sheet name="Contenido" sheetId="11" state="visible" r:id="rId13"/>
    <sheet name="Eventos" sheetId="12" state="visible" r:id="rId14"/>
    <sheet name="Embudo" sheetId="13" state="visible" r:id="rId15"/>
    <sheet name="Presupuesto" sheetId="14" state="visible" r:id="rId16"/>
    <sheet name="KPIs mensuales" sheetId="15" state="visible" r:id="rId17"/>
    <sheet name="Calendario" sheetId="16" state="visible" r:id="rId18"/>
    <sheet name="Latinoamérica" sheetId="17" state="visible" r:id="rId19"/>
    <sheet name="Pedir a CLT" sheetId="18" state="visible" r:id="rId20"/>
    <sheet name="Riesgos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<sst xmlns="http://schemas.openxmlformats.org/spreadsheetml/2006/main" count="628" uniqueCount="530">
  <si>
    <t xml:space="preserve">Plan de Marketing CLT</t>
  </si>
  <si>
    <t xml:space="preserve">Posicionar la impresión híbrida textil de CLT como la n.º 1 en México y llevarla a Latinoamérica</t>
  </si>
  <si>
    <t xml:space="preserve">Preparado por: TID México · VSP Printing, Inc. · CEB · Octubre 2026</t>
  </si>
  <si>
    <t xml:space="preserve">Objetivo: que en 24 meses CLT sea la marca de referencia en impresión híbrida textil (serigrafía + digital) en México, la primera que piense un estampador o una maquila de exportación cuando quiera diferenciarse, y que en el año 3 repliquemos el modelo en Latinoamérica.</t>
  </si>
  <si>
    <t xml:space="preserve">• Hoy nadie es dueño de la categoría en México: no hay distribuidor formal de híbridos chinos y la competencia en tintas compite por precio (ScreenTec) o por aprobaciones de marca (Avient). El primero que eduque al mercado se queda con la categoría.</t>
  </si>
  <si>
    <t xml:space="preserve">• Posicionamiento: «Serigrafía + digital en un solo paso, con química y servicio en México». No vendemos una máquina: vendemos color ilimitado al costo de la serigrafía, efectos que el DTF no logra y un socio técnico local.</t>
  </si>
  <si>
    <t xml:space="preserve">• Estrategia: marketing por cuentas (ABM) sobre las 17 cuentas del 80/20, sala de demostración como motor de ventas, contenido visual que muestre los efectos, ferias clave y consumibles como puerta de entrada.</t>
  </si>
  <si>
    <t xml:space="preserve">• Metas: 2 · 5 · 8 líneas híbridas en los años 1–3, 30 talleres comprando consumibles en el año 1 y el 60% de las cuentas prioritarias con demostración o prueba en su tela.</t>
  </si>
  <si>
    <t xml:space="preserve">• Presupuesto de marketing año 1: ~US$50 mil (US$20 mil ya incluidos en la inversión de lanzamiento); proponemos que CLT cofinancie una parte con un fondo cooperativo.</t>
  </si>
  <si>
    <t xml:space="preserve">Contenido del libro</t>
  </si>
  <si>
    <t xml:space="preserve">Punto de partida</t>
  </si>
  <si>
    <t xml:space="preserve">Objetivos</t>
  </si>
  <si>
    <t xml:space="preserve">Segmentos</t>
  </si>
  <si>
    <t xml:space="preserve">Compradores</t>
  </si>
  <si>
    <t xml:space="preserve">Posicionamiento</t>
  </si>
  <si>
    <t xml:space="preserve">Mezcla 4P</t>
  </si>
  <si>
    <t xml:space="preserve">Fases México</t>
  </si>
  <si>
    <t xml:space="preserve">ABM 17 cuentas</t>
  </si>
  <si>
    <t xml:space="preserve">Canales</t>
  </si>
  <si>
    <t xml:space="preserve">Contenido</t>
  </si>
  <si>
    <t xml:space="preserve">Eventos</t>
  </si>
  <si>
    <t xml:space="preserve">Embudo</t>
  </si>
  <si>
    <t xml:space="preserve">Presupuesto</t>
  </si>
  <si>
    <t xml:space="preserve">KPIs mensuales</t>
  </si>
  <si>
    <t xml:space="preserve">Calendario</t>
  </si>
  <si>
    <t xml:space="preserve">Latinoamérica</t>
  </si>
  <si>
    <t xml:space="preserve">Pedir a CLT</t>
  </si>
  <si>
    <t xml:space="preserve">Riesgos</t>
  </si>
  <si>
    <t xml:space="preserve">Nota: metas y presupuestos son estimaciones propias; se ajustarán con la cotización de CLT y los primeros 6 meses de resultados.</t>
  </si>
  <si>
    <t xml:space="preserve">Tema</t>
  </si>
  <si>
    <t xml:space="preserve">Lo que sabemos</t>
  </si>
  <si>
    <t xml:space="preserve">Implicación para marketing</t>
  </si>
  <si>
    <t xml:space="preserve">Mercado</t>
  </si>
  <si>
    <t xml:space="preserve">102,492 unidades económicas textiles; ~1,400–1,900 empresas alcanzables; 82 prospectos identificados (47 estampadores/fabricantes y 35 OEM)</t>
  </si>
  <si>
    <t xml:space="preserve">Mercado concentrado: pocas cuentas grandes deciden el volumen; marketing de precisión, no masivo</t>
  </si>
  <si>
    <t xml:space="preserve">Contexto</t>
  </si>
  <si>
    <t xml:space="preserve">Aranceles 2026 de hasta 35% a prendas de países sin tratado; las maquilas buscan valor agregado y tirajes cortos</t>
  </si>
  <si>
    <t xml:space="preserve">Mensaje de oportunidad: producir aquí lo que antes se importaba, con efectos premium</t>
  </si>
  <si>
    <t xml:space="preserve">Competencia</t>
  </si>
  <si>
    <t xml:space="preserve">Kornit (DTG alto costo), pulpos M&amp;R/ROQ/MHM, Avient y Matsui en tintas premium, ScreenTec y marcas económicas en precio, DTF en tirajes cortos</t>
  </si>
  <si>
    <t xml:space="preserve">Diferenciarnos por solución completa y servicio, no por precio</t>
  </si>
  <si>
    <t xml:space="preserve">Marca CLT</t>
  </si>
  <si>
    <t xml:space="preserve">Fabricante chino listado en bolsa, poco conocido en México</t>
  </si>
  <si>
    <t xml:space="preserve">Construir confianza: pruebas en la tela del cliente, casos, sala demo y servicio local</t>
  </si>
  <si>
    <t xml:space="preserve">Grupo</t>
  </si>
  <si>
    <t xml:space="preserve">TID (12 años, Querétaro), VSP (20+ años, California), CEB (importación)</t>
  </si>
  <si>
    <t xml:space="preserve">Credibilidad local y cobertura frontera; marca paraguas «CLT por TID»</t>
  </si>
  <si>
    <t xml:space="preserve">Objetivos (metas por año)</t>
  </si>
  <si>
    <t xml:space="preserve">Indicador</t>
  </si>
  <si>
    <t xml:space="preserve">Año 1</t>
  </si>
  <si>
    <t xml:space="preserve">Año 2</t>
  </si>
  <si>
    <t xml:space="preserve">Año 3</t>
  </si>
  <si>
    <t xml:space="preserve">Líneas híbridas instaladas (acumulado)</t>
  </si>
  <si>
    <t xml:space="preserve">2</t>
  </si>
  <si>
    <t xml:space="preserve">7</t>
  </si>
  <si>
    <t xml:space="preserve">15</t>
  </si>
  <si>
    <t xml:space="preserve">Talleres comprando consumibles CLT</t>
  </si>
  <si>
    <t xml:space="preserve">30</t>
  </si>
  <si>
    <t xml:space="preserve">70</t>
  </si>
  <si>
    <t xml:space="preserve">120</t>
  </si>
  <si>
    <t xml:space="preserve">Cuentas 80/20 con demo o prueba en su tela</t>
  </si>
  <si>
    <t xml:space="preserve">10 de 17</t>
  </si>
  <si>
    <t xml:space="preserve">17 de 17</t>
  </si>
  <si>
    <t xml:space="preserve">+ Latam</t>
  </si>
  <si>
    <t xml:space="preserve">Leads calificados (MQL)</t>
  </si>
  <si>
    <t xml:space="preserve">300</t>
  </si>
  <si>
    <t xml:space="preserve">600</t>
  </si>
  <si>
    <t xml:space="preserve">900</t>
  </si>
  <si>
    <t xml:space="preserve">Demostraciones realizadas</t>
  </si>
  <si>
    <t xml:space="preserve">40</t>
  </si>
  <si>
    <t xml:space="preserve">80</t>
  </si>
  <si>
    <t xml:space="preserve">Conocimiento de marca en cuentas prioritarias</t>
  </si>
  <si>
    <t xml:space="preserve">60%</t>
  </si>
  <si>
    <t xml:space="preserve">85%</t>
  </si>
  <si>
    <t xml:space="preserve">90%</t>
  </si>
  <si>
    <t xml:space="preserve">Países con presencia</t>
  </si>
  <si>
    <t xml:space="preserve">México</t>
  </si>
  <si>
    <t xml:space="preserve">México + EE. UU. (VSP)</t>
  </si>
  <si>
    <t xml:space="preserve">+ 2–3 países Latam</t>
  </si>
  <si>
    <t xml:space="preserve">Líneas por año: 2, 5 y 8 (igual que la propuesta a CLT). Consumibles: incluye talleres sin máquina CLT. Estimación a validar.</t>
  </si>
  <si>
    <t xml:space="preserve">Mercado meta y segmentos</t>
  </si>
  <si>
    <t xml:space="preserve">Segmento</t>
  </si>
  <si>
    <t xml:space="preserve">Quiénes</t>
  </si>
  <si>
    <t xml:space="preserve">Qué necesitan</t>
  </si>
  <si>
    <t xml:space="preserve">Mensaje</t>
  </si>
  <si>
    <t xml:space="preserve">Prioridad</t>
  </si>
  <si>
    <t xml:space="preserve">OEM de exportación</t>
  </si>
  <si>
    <t xml:space="preserve">Maquilas con serigrafía en Baja California, Puebla, Yucatán, Nuevo León (Ink Throwers, MD International, Vertical Knits, Codipsa)</t>
  </si>
  <si>
    <t xml:space="preserve">Volumen, calidad constante, efectos para marcas de EE. UU., cumplimiento químico</t>
  </si>
  <si>
    <t xml:space="preserve">«Efectos premium a velocidad de pulpo, con soporte en México»</t>
  </si>
  <si>
    <t xml:space="preserve">1</t>
  </si>
  <si>
    <t xml:space="preserve">Estampadores industriales</t>
  </si>
  <si>
    <t xml:space="preserve">Maquila de serigrafía por volumen (ADN, KW, SerigrafiarteSP)</t>
  </si>
  <si>
    <t xml:space="preserve">Bajar costo por pieza, quitar cambios de pantalla, ganar clientes nuevos</t>
  </si>
  <si>
    <t xml:space="preserve">«Color ilimitado al costo de la serigrafía»</t>
  </si>
  <si>
    <t xml:space="preserve">Deportivo, uniformes y licencias</t>
  </si>
  <si>
    <t xml:space="preserve">Charly, Diermi, Uniformes Carmen, Reitex</t>
  </si>
  <si>
    <t xml:space="preserve">Nombres y números variables, sublimado sobre algodón oscuro, campañas</t>
  </si>
  <si>
    <t xml:space="preserve">«Personaliza cada pieza sin parar la línea»</t>
  </si>
  <si>
    <t xml:space="preserve">Marcas de moda y diseño</t>
  </si>
  <si>
    <t xml:space="preserve">Marcas nacionales y diseñadores</t>
  </si>
  <si>
    <t xml:space="preserve">Diferenciación: silicona vidrio, efecto bordado, 3D</t>
  </si>
  <si>
    <t xml:space="preserve">«Lo que tu competencia no puede imprimir»</t>
  </si>
  <si>
    <t xml:space="preserve">Talleres medianos</t>
  </si>
  <si>
    <t xml:space="preserve">Talleres con pulpo manual o automático</t>
  </si>
  <si>
    <t xml:space="preserve">Mejores siliconas y pastas, capacitación</t>
  </si>
  <si>
    <t xml:space="preserve">«Química profesional con asesoría técnica»</t>
  </si>
  <si>
    <t xml:space="preserve">3 (consumibles)</t>
  </si>
  <si>
    <t xml:space="preserve">Compradores: quién decide y qué le decimos</t>
  </si>
  <si>
    <t xml:space="preserve">Perfil</t>
  </si>
  <si>
    <t xml:space="preserve">Le importa</t>
  </si>
  <si>
    <t xml:space="preserve">Le mostramos</t>
  </si>
  <si>
    <t xml:space="preserve">Objeción típica → respuesta</t>
  </si>
  <si>
    <t xml:space="preserve">Dueño / director general</t>
  </si>
  <si>
    <t xml:space="preserve">Retorno, riesgo, flujo de efectivo</t>
  </si>
  <si>
    <t xml:space="preserve">Calculadora de retorno con sus números; inversión por etapas; financiamiento</t>
  </si>
  <si>
    <t xml:space="preserve">«Es mucho dinero» → estación digital sobre su pulpo actual primero</t>
  </si>
  <si>
    <t xml:space="preserve">Gerente de planta / producción</t>
  </si>
  <si>
    <t xml:space="preserve">Piezas por hora, paros, mano de obra</t>
  </si>
  <si>
    <t xml:space="preserve">Demo con 400+ piezas/hora; menos pantallas y cambios</t>
  </si>
  <si>
    <t xml:space="preserve">«Mis operadores no saben» → capacitación incluida y técnico local</t>
  </si>
  <si>
    <t xml:space="preserve">Ingeniería / procesos</t>
  </si>
  <si>
    <t xml:space="preserve">Estabilidad, curado, lavado, mantenimiento</t>
  </si>
  <si>
    <t xml:space="preserve">Fichas técnicas, pruebas de lavado, plan de mantenimiento</t>
  </si>
  <si>
    <t xml:space="preserve">«Cabezales chinos fallan» → refacciones en México y póliza de servicio</t>
  </si>
  <si>
    <t xml:space="preserve">Compras</t>
  </si>
  <si>
    <t xml:space="preserve">Precio, crédito, entrega, proveedor confiable</t>
  </si>
  <si>
    <t xml:space="preserve">Inventario local (CEB), precio en pesos, crédito a 30–60 días</t>
  </si>
  <si>
    <t xml:space="preserve">«ScreenTec es más barato» → costo por pieza y efectos que ellos no tienen</t>
  </si>
  <si>
    <t xml:space="preserve">Diseño</t>
  </si>
  <si>
    <t xml:space="preserve">Libertad creativa, efectos nuevos</t>
  </si>
  <si>
    <t xml:space="preserve">Muestrario físico, recetas de efectos, prueba con su diseño</t>
  </si>
  <si>
    <t xml:space="preserve">«No sé si se ve bien en tela» → muestra con su arte en 72 horas</t>
  </si>
  <si>
    <t xml:space="preserve">Posicionamiento y marca</t>
  </si>
  <si>
    <t xml:space="preserve">Declaración de posicionamiento</t>
  </si>
  <si>
    <t xml:space="preserve">Para estampadores y maquilas que necesitan diferenciarse sin perder volumen, CLT por TID es la única solución híbrida llave en mano en México: máquina, química y servicio local que combinan el costo de la serigrafía con el color ilimitado del digital y efectos especiales que el DTF no logra.</t>
  </si>
  <si>
    <t xml:space="preserve">Frases propuestas (a probar con clientes)</t>
  </si>
  <si>
    <t xml:space="preserve">• «Serigrafía + digital. Un solo paso.» (principal)</t>
  </si>
  <si>
    <t xml:space="preserve">• «Imprime lo que antes era imposible.» (efectos especiales)</t>
  </si>
  <si>
    <t xml:space="preserve">• «Color ilimitado al costo de la serigrafía.» (retorno)</t>
  </si>
  <si>
    <t xml:space="preserve">Tres pilares de mensaje y sus pruebas</t>
  </si>
  <si>
    <t xml:space="preserve">Pilar</t>
  </si>
  <si>
    <t xml:space="preserve">Promesa</t>
  </si>
  <si>
    <t xml:space="preserve">Pruebas</t>
  </si>
  <si>
    <t xml:space="preserve">Productividad</t>
  </si>
  <si>
    <t xml:space="preserve">Más piezas por hora y menos costo por pieza</t>
  </si>
  <si>
    <t xml:space="preserve">400–450 piezas/hora; 40–70% menos tinta que DTG; tiraje rentable desde 500 piezas</t>
  </si>
  <si>
    <t xml:space="preserve">Diferenciación</t>
  </si>
  <si>
    <t xml:space="preserve">Efectos que venden más caro</t>
  </si>
  <si>
    <t xml:space="preserve">Silicona tipo vidrio, efecto bordado, 3D, foil, descarga; muestrario físico</t>
  </si>
  <si>
    <t xml:space="preserve">Respaldo local</t>
  </si>
  <si>
    <t xml:space="preserve">Un socio, no un importador</t>
  </si>
  <si>
    <t xml:space="preserve">Sala demo en Querétaro, técnicos TID/VSP, inventario CEB, capacitación y garantía</t>
  </si>
  <si>
    <t xml:space="preserve">Arquitectura de marca</t>
  </si>
  <si>
    <t xml:space="preserve">• Marca de producto: CLT (respetando su identidad y guía de marca).</t>
  </si>
  <si>
    <t xml:space="preserve">• Respaldo: «Distribuidor oficial en México: TID México · VSP · CEB». En comunicación local: «CLT por TID».</t>
  </si>
  <si>
    <t xml:space="preserve">• Nombre del programa de capacitación: «Academia Híbrida CLT» (certificación de operadores; genera lealtad y consumo de química).</t>
  </si>
  <si>
    <t xml:space="preserve">Mezcla de marketing (4P)</t>
  </si>
  <si>
    <t xml:space="preserve">Elemento</t>
  </si>
  <si>
    <t xml:space="preserve">Decisión</t>
  </si>
  <si>
    <t xml:space="preserve">Producto</t>
  </si>
  <si>
    <t xml:space="preserve">Tres paquetes: Inicio (química + estación digital sobre el pulpo del cliente), Pro (pulpo + estación híbrida + química + póliza) y Completo (línea con DTG). Siempre con instalación, capacitación y servicio.</t>
  </si>
  <si>
    <t xml:space="preserve">Precio</t>
  </si>
  <si>
    <t xml:space="preserve">Precio por valor (costo por pieza), en pesos y dólares. Programa «Clientes fundadores»: condiciones especiales para los primeros 5 compradores a cambio de caso de éxito y visitas a su planta. Financiamiento o arrendamiento con terceros y química en consignación para cuentas clave.</t>
  </si>
  <si>
    <t xml:space="preserve">Plaza</t>
  </si>
  <si>
    <t xml:space="preserve">Venta directa a cuentas 80/20 (vendedor + dirección). Sala demo en Querétaro; frontera atendida con VSP; consumibles por pedido directo, tienda en línea B2B y, desde el año 2, 2–3 distribuidores de química en Guadalajara, Puebla y León.</t>
  </si>
  <si>
    <t xml:space="preserve">Promoción</t>
  </si>
  <si>
    <t xml:space="preserve">ABM, demostraciones, ferias, contenido visual, LinkedIn, WhatsApp, relaciones públicas y referidos (detalle en secciones 9–12).</t>
  </si>
  <si>
    <t xml:space="preserve">Plan por fases en México</t>
  </si>
  <si>
    <t xml:space="preserve">Fase</t>
  </si>
  <si>
    <t xml:space="preserve">Meses</t>
  </si>
  <si>
    <t xml:space="preserve">Objetivo</t>
  </si>
  <si>
    <t xml:space="preserve">Acciones clave</t>
  </si>
  <si>
    <t xml:space="preserve">0. Preparar</t>
  </si>
  <si>
    <t xml:space="preserve">0–3</t>
  </si>
  <si>
    <t xml:space="preserve">Tener todo listo para vender</t>
  </si>
  <si>
    <t xml:space="preserve">Kit de marca en español, página web /clt, catálogo y fichas, videos de efectos, muestrario físico, CRM y WhatsApp Business, calculadora de retorno, lista de 82 cuentas con contactos</t>
  </si>
  <si>
    <t xml:space="preserve">1. Lanzar</t>
  </si>
  <si>
    <t xml:space="preserve">3–9</t>
  </si>
  <si>
    <t xml:space="preserve">Que el mercado sepa que existimos</t>
  </si>
  <si>
    <t xml:space="preserve">Inauguración de la sala demo, FESPA México, ABM a las 17 cuentas, primeros 2 «clientes fundadores», lanzamiento de siliconas y pastas a talleres</t>
  </si>
  <si>
    <t xml:space="preserve">2. Probar y escalar</t>
  </si>
  <si>
    <t xml:space="preserve">9–18</t>
  </si>
  <si>
    <t xml:space="preserve">Convertir pruebas en ventas</t>
  </si>
  <si>
    <t xml:space="preserve">Casos de éxito en video, «Días Híbridos» en Guadalajara, León, Puebla, Monterrey, Tijuana y Mérida, webinars mensuales, programa de referidos, Academia Híbrida</t>
  </si>
  <si>
    <t xml:space="preserve">3. Liderar</t>
  </si>
  <si>
    <t xml:space="preserve">18–36</t>
  </si>
  <si>
    <t xml:space="preserve">Ser la referencia de la categoría</t>
  </si>
  <si>
    <t xml:space="preserve">Ponencias en ferias y cámaras, alianzas con escuelas de diseño, distribuidores de química, comunidad de clientes, salto a Latinoamérica</t>
  </si>
  <si>
    <t xml:space="preserve">Marketing por cuentas (ABM) — 17 cuentas 80/20</t>
  </si>
  <si>
    <t xml:space="preserve">Pasos: 1 Investigar · 2 Muestra personalizada · 3 Visita/demo · 4 Prueba piloto · 5 Propuesta. Capture fechas en las celdas amarillas.</t>
  </si>
  <si>
    <t xml:space="preserve">• Paso 1 — Investigar: mapa de cada cuenta (decisores, marcas que surte, equipo instalado, procesos que terceriza).</t>
  </si>
  <si>
    <t xml:space="preserve">• Paso 2 — Muestra personalizada: imprimir su propio diseño (o el de una marca que surten) con efectos híbridos y entregarlo en caja con calculadora de retorno a su volumen. Costo aproximado: US$150–250 por cuenta.</t>
  </si>
  <si>
    <t xml:space="preserve">• Paso 3 — Visita y demo: invitación a la sala demo o demostración en su planta con su tela.</t>
  </si>
  <si>
    <t xml:space="preserve">• Paso 4 — Prueba piloto: corrida corta en producción real con técnico CLT/TID; medir costo por pieza y calidad.</t>
  </si>
  <si>
    <t xml:space="preserve">• Paso 5 — Propuesta: paquete a la medida con financiamiento; si es «cliente fundador», condiciones especiales.</t>
  </si>
  <si>
    <t xml:space="preserve">• Seguimiento semanal en el CRM; meta: 10 de 17 cuentas con demo o prueba en el año 1.</t>
  </si>
  <si>
    <t xml:space="preserve">#</t>
  </si>
  <si>
    <t xml:space="preserve">Cuenta</t>
  </si>
  <si>
    <t xml:space="preserve">Ciudad</t>
  </si>
  <si>
    <t xml:space="preserve">Por qué es prioridad</t>
  </si>
  <si>
    <t xml:space="preserve">1 Investigación</t>
  </si>
  <si>
    <t xml:space="preserve">2 Muestra enviada</t>
  </si>
  <si>
    <t xml:space="preserve">3 Demo</t>
  </si>
  <si>
    <t xml:space="preserve">4 Piloto</t>
  </si>
  <si>
    <t xml:space="preserve">5 Propuesta</t>
  </si>
  <si>
    <t xml:space="preserve">Estatus</t>
  </si>
  <si>
    <t xml:space="preserve">Próximo paso / responsable</t>
  </si>
  <si>
    <t xml:space="preserve">ADN Serigrafía</t>
  </si>
  <si>
    <t xml:space="preserve">Prospecto</t>
  </si>
  <si>
    <t xml:space="preserve">Naucalpan, Edo. Méx.</t>
  </si>
  <si>
    <t xml:space="preserve">Maquila de serigrafía: 130,000+ piezas/semana, hasta 18 tintas, producción para EE. UU. y Canadá</t>
  </si>
  <si>
    <t xml:space="preserve">Por contactar</t>
  </si>
  <si>
    <t xml:space="preserve">Serigrafía Textil Automatizada (KW)</t>
  </si>
  <si>
    <t xml:space="preserve">Puebla, Pue.</t>
  </si>
  <si>
    <t xml:space="preserve">Serigrafía automatizada por volumen: campañas, deportivo y promocional; 30+ años</t>
  </si>
  <si>
    <t xml:space="preserve">Manufacturas Textiles RF (Reitex)</t>
  </si>
  <si>
    <t xml:space="preserve">Guadalupe, N.L.</t>
  </si>
  <si>
    <t xml:space="preserve">Fábrica integrada de hilo a prenda; playeras de campaña y publicitarias de alto volumen</t>
  </si>
  <si>
    <t xml:space="preserve">Diermi (Playeras Mindy)</t>
  </si>
  <si>
    <t xml:space="preserve">Zapopan, Jal.</t>
  </si>
  <si>
    <t xml:space="preserve">Playeras deportivas y publicitarias en nave automatizada de 5,000 m²; exporta a EE. UU.</t>
  </si>
  <si>
    <t xml:space="preserve">GOCA'S</t>
  </si>
  <si>
    <t xml:space="preserve">Ciudad de México</t>
  </si>
  <si>
    <t xml:space="preserve">Playeras y sudaderas a gran escala con serigrafía, sublimación y bordado propios; 25+ años</t>
  </si>
  <si>
    <t xml:space="preserve">SerigrafiarteSP</t>
  </si>
  <si>
    <t xml:space="preserve">Maquila de serigrafía (plastisol, base agua, corrosión), DTF y sublimación para fábricas y marcas</t>
  </si>
  <si>
    <t xml:space="preserve">Grupo Martex</t>
  </si>
  <si>
    <t xml:space="preserve">Fabricante textil de gran volumen; uniformes (el directorio menciona uniformes FIFA)</t>
  </si>
  <si>
    <t xml:space="preserve">Uniformes Carmen</t>
  </si>
  <si>
    <t xml:space="preserve">Guadalajara, Jal.</t>
  </si>
  <si>
    <t xml:space="preserve">Uniformes con serigrafía, bordado y transfer; maquila de estampado por volumen; 30+ años</t>
  </si>
  <si>
    <t xml:space="preserve">Charly (Grupo Charly)</t>
  </si>
  <si>
    <t xml:space="preserve">León, Gto.</t>
  </si>
  <si>
    <t xml:space="preserve">Marca deportiva: jerseys y licencias de clubes de Liga MX (León, Pachuca, Atlas, Santos)</t>
  </si>
  <si>
    <t xml:space="preserve">Vertical Knits</t>
  </si>
  <si>
    <t xml:space="preserve">OEM</t>
  </si>
  <si>
    <t xml:space="preserve">Baca, Yuc.</t>
  </si>
  <si>
    <t xml:space="preserve">Tejido de punto con serigrafía y bordado internos; 16–25 millones de prendas al año — Nike, Fanatics, Tommy Hilfiger, Patagonia</t>
  </si>
  <si>
    <t xml:space="preserve">Ink Throwers de México</t>
  </si>
  <si>
    <t xml:space="preserve">Tijuana, B.C.</t>
  </si>
  <si>
    <t xml:space="preserve">Serigrafía por contrato para retail y licencias: ~50,000 impresiones/día, ~538 trabajadores — Disney, Levi's, Marvel</t>
  </si>
  <si>
    <t xml:space="preserve">MD International Baja</t>
  </si>
  <si>
    <t xml:space="preserve">Ensenada, B.C.</t>
  </si>
  <si>
    <t xml:space="preserve">Estampado masivo y confección; 1,200–1,300 trabajadores — Fanatics, Hurley, REI</t>
  </si>
  <si>
    <t xml:space="preserve">Fortune Fashions Baja (Mad Engine)</t>
  </si>
  <si>
    <t xml:space="preserve">Planta de serigrafía de playeras licenciadas para retail de EE. UU. — Mad Engine Global, Disney</t>
  </si>
  <si>
    <t xml:space="preserve">SOIR Textiles (TJ Factory Clothing)</t>
  </si>
  <si>
    <t xml:space="preserve">Estampado de prendas, serigrafía plana y teñido en dos plantas — Columbia, Disney</t>
  </si>
  <si>
    <t xml:space="preserve">Factory 1 (Factory1 Group)</t>
  </si>
  <si>
    <t xml:space="preserve">Paquete completo con serigrafía plana, teñido y lavado; 702 trabajadores — Columbia, Disney</t>
  </si>
  <si>
    <t xml:space="preserve">Codipsa (San Fernando ScreenPrinting)</t>
  </si>
  <si>
    <t xml:space="preserve">Punto vertical (tejido, teñido, acabado y estampado) para fast fashion; 35+ años exportando — Puma, Gap, Hot Topic, Macy's, Disney</t>
  </si>
  <si>
    <t xml:space="preserve">RMC de México</t>
  </si>
  <si>
    <t xml:space="preserve">Linares, N.L.</t>
  </si>
  <si>
    <t xml:space="preserve">Planta vertical con estampado, sublimación, bordado, corte y costura; 336 trabajadores — Under Armour, Nordstrom</t>
  </si>
  <si>
    <t xml:space="preserve">Cuentas con demo o piloto</t>
  </si>
  <si>
    <t xml:space="preserve">Meta año 1</t>
  </si>
  <si>
    <t xml:space="preserve">Canales y tácticas</t>
  </si>
  <si>
    <t xml:space="preserve">Canal</t>
  </si>
  <si>
    <t xml:space="preserve">Para qué</t>
  </si>
  <si>
    <t xml:space="preserve">Táctica</t>
  </si>
  <si>
    <t xml:space="preserve">Sala de demostración</t>
  </si>
  <si>
    <t xml:space="preserve">Cerrar ventas</t>
  </si>
  <si>
    <t xml:space="preserve">Demos agendadas, pruebas con tela del cliente, talleres de efectos</t>
  </si>
  <si>
    <t xml:space="preserve">Demos/mes; % que pasa a propuesta</t>
  </si>
  <si>
    <t xml:space="preserve">LinkedIn</t>
  </si>
  <si>
    <t xml:space="preserve">Llegar a decisores de OEM</t>
  </si>
  <si>
    <t xml:space="preserve">Perfil de empresa y del director, casos, videos cortos; anuncios a cargos de planta y compras</t>
  </si>
  <si>
    <t xml:space="preserve">Leads de OEM; reuniones</t>
  </si>
  <si>
    <t xml:space="preserve">Instagram, TikTok y YouTube</t>
  </si>
  <si>
    <t xml:space="preserve">Mostrar los efectos</t>
  </si>
  <si>
    <t xml:space="preserve">Reels de antes/después, «cómo se hizo», efecto vidrio y bordado de cerca</t>
  </si>
  <si>
    <t xml:space="preserve">Alcance; mensajes recibidos</t>
  </si>
  <si>
    <t xml:space="preserve">WhatsApp Business</t>
  </si>
  <si>
    <t xml:space="preserve">Atención y reabasto</t>
  </si>
  <si>
    <t xml:space="preserve">Catálogo, listas de difusión de promociones, pedidos de consumibles</t>
  </si>
  <si>
    <t xml:space="preserve">Tiempo de respuesta; pedidos</t>
  </si>
  <si>
    <t xml:space="preserve">Sitio web y buscadores</t>
  </si>
  <si>
    <t xml:space="preserve">Captar búsquedas</t>
  </si>
  <si>
    <t xml:space="preserve">Página /clt con calculadora; contenido para «impresión híbrida textil», «silicona para serigrafía», «efecto bordado», «pasta base agua»</t>
  </si>
  <si>
    <t xml:space="preserve">Visitas; formularios</t>
  </si>
  <si>
    <t xml:space="preserve">Correo</t>
  </si>
  <si>
    <t xml:space="preserve">Nutrir prospectos</t>
  </si>
  <si>
    <t xml:space="preserve">Secuencia de 6 correos por perfil; boletín mensual con casos</t>
  </si>
  <si>
    <t xml:space="preserve">Apertura; clics; demos</t>
  </si>
  <si>
    <t xml:space="preserve">Ferias y Días Híbridos</t>
  </si>
  <si>
    <t xml:space="preserve">Volumen de contactos</t>
  </si>
  <si>
    <t xml:space="preserve">Demostración en vivo, muestras con el logo del visitante</t>
  </si>
  <si>
    <t xml:space="preserve">Leads por evento; costo por lead</t>
  </si>
  <si>
    <t xml:space="preserve">Relaciones públicas</t>
  </si>
  <si>
    <t xml:space="preserve">Credibilidad</t>
  </si>
  <si>
    <t xml:space="preserve">Prensa especializada en impresión y textil; cámaras CANAINTEX y CANAIVE</t>
  </si>
  <si>
    <t xml:space="preserve">Menciones; invitaciones</t>
  </si>
  <si>
    <t xml:space="preserve">Referidos</t>
  </si>
  <si>
    <t xml:space="preserve">Crecimiento orgánico</t>
  </si>
  <si>
    <t xml:space="preserve">Descuento en química por cliente referido que compre</t>
  </si>
  <si>
    <t xml:space="preserve">Ventas referidas</t>
  </si>
  <si>
    <t xml:space="preserve">Pilar de contenido</t>
  </si>
  <si>
    <t xml:space="preserve">Formatos</t>
  </si>
  <si>
    <t xml:space="preserve">Frecuencia</t>
  </si>
  <si>
    <t xml:space="preserve">Efectos que venden</t>
  </si>
  <si>
    <t xml:space="preserve">Reels de 15–30 s, fotos macro, muestrario</t>
  </si>
  <si>
    <t xml:space="preserve">3 por semana</t>
  </si>
  <si>
    <t xml:space="preserve">Números que convencen</t>
  </si>
  <si>
    <t xml:space="preserve">Calculadora de retorno, comparativos costo por pieza vs. DTF y DTG</t>
  </si>
  <si>
    <t xml:space="preserve">1 al mes</t>
  </si>
  <si>
    <t xml:space="preserve">Casos de clientes</t>
  </si>
  <si>
    <t xml:space="preserve">Video de 2 minutos en planta, ficha de caso</t>
  </si>
  <si>
    <t xml:space="preserve">1 por trimestre (desde el mes 9)</t>
  </si>
  <si>
    <t xml:space="preserve">Academia Híbrida</t>
  </si>
  <si>
    <t xml:space="preserve">Webinars, guías técnicas, recetas de efectos, certificación</t>
  </si>
  <si>
    <t xml:space="preserve">1 webinar al mes</t>
  </si>
  <si>
    <t xml:space="preserve">Detrás de la marca</t>
  </si>
  <si>
    <t xml:space="preserve">Planta CLT, equipo técnico, sala demo, ferias</t>
  </si>
  <si>
    <t xml:space="preserve">2 al mes</t>
  </si>
  <si>
    <t xml:space="preserve">Todo el contenido en español; versión en inglés para VSP y cuentas OEM con matriz en EE. UU.</t>
  </si>
  <si>
    <t xml:space="preserve">Eventos y ferias</t>
  </si>
  <si>
    <t xml:space="preserve">Evento</t>
  </si>
  <si>
    <t xml:space="preserve">Dónde</t>
  </si>
  <si>
    <t xml:space="preserve">Año</t>
  </si>
  <si>
    <t xml:space="preserve">FESPA México</t>
  </si>
  <si>
    <t xml:space="preserve">Lanzamiento con línea híbrida en operación</t>
  </si>
  <si>
    <t xml:space="preserve">1, 2, 3</t>
  </si>
  <si>
    <t xml:space="preserve">Inauguración sala demo</t>
  </si>
  <si>
    <t xml:space="preserve">Querétaro</t>
  </si>
  <si>
    <t xml:space="preserve">Evento con las 17 cuentas, cámaras y prensa</t>
  </si>
  <si>
    <t xml:space="preserve">Días Híbridos (roadshow)</t>
  </si>
  <si>
    <t xml:space="preserve">Guadalajara, León, Puebla, Monterrey, Tijuana, Mérida</t>
  </si>
  <si>
    <t xml:space="preserve">Demos en la planta de un cliente o aliado local</t>
  </si>
  <si>
    <t xml:space="preserve">1–2</t>
  </si>
  <si>
    <t xml:space="preserve">Intermoda</t>
  </si>
  <si>
    <t xml:space="preserve">Guadalajara</t>
  </si>
  <si>
    <t xml:space="preserve">Marcas de moda y diseñadores</t>
  </si>
  <si>
    <t xml:space="preserve">PRINTING United</t>
  </si>
  <si>
    <t xml:space="preserve">EE. UU.</t>
  </si>
  <si>
    <t xml:space="preserve">Cuentas OEM con matriz en EE. UU., junto con VSP y CLT</t>
  </si>
  <si>
    <t xml:space="preserve">Apparel Sourcing Show</t>
  </si>
  <si>
    <t xml:space="preserve">Guatemala</t>
  </si>
  <si>
    <t xml:space="preserve">Entrada a Centroamérica</t>
  </si>
  <si>
    <t xml:space="preserve">2–3</t>
  </si>
  <si>
    <t xml:space="preserve">Colombiatex de las Américas</t>
  </si>
  <si>
    <t xml:space="preserve">Medellín</t>
  </si>
  <si>
    <t xml:space="preserve">Entrada a Colombia y región andina</t>
  </si>
  <si>
    <t xml:space="preserve">3</t>
  </si>
  <si>
    <t xml:space="preserve">Perú Moda</t>
  </si>
  <si>
    <t xml:space="preserve">Lima</t>
  </si>
  <si>
    <t xml:space="preserve">Entrada a Perú</t>
  </si>
  <si>
    <t xml:space="preserve">Fechas por confirmar en cada calendario anual.</t>
  </si>
  <si>
    <t xml:space="preserve">Embudo comercial año 1</t>
  </si>
  <si>
    <t xml:space="preserve">Las cifras amarillas son supuestos editables; las conversiones se recalculan solas.</t>
  </si>
  <si>
    <t xml:space="preserve">Etapa</t>
  </si>
  <si>
    <t xml:space="preserve">Conversión vs. etapa anterior</t>
  </si>
  <si>
    <t xml:space="preserve">Real</t>
  </si>
  <si>
    <t xml:space="preserve">Avance</t>
  </si>
  <si>
    <t xml:space="preserve">Responsable</t>
  </si>
  <si>
    <t xml:space="preserve">Contactos generados (ferias, digital, ABM)</t>
  </si>
  <si>
    <t xml:space="preserve">Marketing</t>
  </si>
  <si>
    <t xml:space="preserve">Marketing + atención al cliente</t>
  </si>
  <si>
    <t xml:space="preserve">Demostraciones o pruebas</t>
  </si>
  <si>
    <t xml:space="preserve">Vendedor + técnico</t>
  </si>
  <si>
    <t xml:space="preserve">Propuestas formales</t>
  </si>
  <si>
    <t xml:space="preserve">Vendedor</t>
  </si>
  <si>
    <t xml:space="preserve">Líneas híbridas vendidas</t>
  </si>
  <si>
    <t xml:space="preserve">Dirección + vendedor</t>
  </si>
  <si>
    <t xml:space="preserve">Talleres con consumibles</t>
  </si>
  <si>
    <t xml:space="preserve">Atención al cliente</t>
  </si>
  <si>
    <t xml:space="preserve">Costo por lead calificado (presupuesto año 1 / MQL)</t>
  </si>
  <si>
    <t xml:space="preserve">Costo de marketing por línea vendida</t>
  </si>
  <si>
    <t xml:space="preserve">Presupuesto de marketing (estimación, US$)</t>
  </si>
  <si>
    <t xml:space="preserve">Edite las cifras amarillas; totales y porcentajes se recalculan.</t>
  </si>
  <si>
    <t xml:space="preserve">Concepto</t>
  </si>
  <si>
    <t xml:space="preserve">% año 1</t>
  </si>
  <si>
    <t xml:space="preserve">Identidad, web, catálogo y fichas técnicas</t>
  </si>
  <si>
    <t xml:space="preserve">Video y fotografía (efectos, demos, casos)</t>
  </si>
  <si>
    <t xml:space="preserve">Kits de muestras ABM y muestrario</t>
  </si>
  <si>
    <t xml:space="preserve">Ferias (stand, traslado de máquina, viáticos)</t>
  </si>
  <si>
    <t xml:space="preserve">Inauguración sala demo y Días Híbridos</t>
  </si>
  <si>
    <t xml:space="preserve">Publicidad digital (LinkedIn, Meta, YouTube, Google)</t>
  </si>
  <si>
    <t xml:space="preserve">Herramientas (CRM, WhatsApp, correo)</t>
  </si>
  <si>
    <t xml:space="preserve">Imprevistos</t>
  </si>
  <si>
    <t xml:space="preserve">Total</t>
  </si>
  <si>
    <t xml:space="preserve">Ya incluido en la inversión inicial de la propuesta (Lanzamiento)</t>
  </si>
  <si>
    <t xml:space="preserve">Fondo cooperativo CLT (3–5% de compras) — supuesto 4%</t>
  </si>
  <si>
    <t xml:space="preserve">Compras del distribuidor a CLT año 1 (capturar)</t>
  </si>
  <si>
    <t xml:space="preserve">Aportación estimada de CLT</t>
  </si>
  <si>
    <t xml:space="preserve">Gasto nuevo a cargo del grupo año 1</t>
  </si>
  <si>
    <t xml:space="preserve">Distribución mensual año 1 (US$)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</si>
  <si>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</si>
  <si>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</si>
  <si>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</si>
  <si>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</si>
  <si>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</si>
  <si>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</si>
  <si>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</si>
  <si>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</si>
  <si>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</si>
  <si>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</si>
  <si>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</si>
  <si>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</si>
  <si>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Gasto planeado</t>
  </si>
  <si>
    <t xml:space="preserve">Gasto real (capturar)</t>
  </si>
  <si>
    <t xml:space="preserve">Tablero mensual de indicadores</t>
  </si>
  <si>
    <t xml:space="preserve">Meta mensual sugerida (año 1) y columna para capturar el real de cada mes.</t>
  </si>
  <si>
    <t xml:space="preserve">Meta/mes</t>
  </si>
  <si>
    <t xml:space="preserve">Mes 1</t>
  </si>
  <si>
    <t xml:space="preserve">Mes 2</t>
  </si>
  <si>
    <t xml:space="preserve">Mes 3</t>
  </si>
  <si>
    <t xml:space="preserve">Mes 4</t>
  </si>
  <si>
    <t xml:space="preserve">Mes 5</t>
  </si>
  <si>
    <t xml:space="preserve">Mes 6</t>
  </si>
  <si>
    <t xml:space="preserve">Mes 7</t>
  </si>
  <si>
    <t xml:space="preserve">Mes 8</t>
  </si>
  <si>
    <t xml:space="preserve">Mes 9</t>
  </si>
  <si>
    <t xml:space="preserve">Mes 10</t>
  </si>
  <si>
    <t xml:space="preserve">Mes 11</t>
  </si>
  <si>
    <t xml:space="preserve">Mes 12</t>
  </si>
  <si>
    <t xml:space="preserve">Total año</t>
  </si>
  <si>
    <t xml:space="preserve">Meta año</t>
  </si>
  <si>
    <t xml:space="preserve">Contactos generados</t>
  </si>
  <si>
    <t xml:space="preserve">Demos o pruebas</t>
  </si>
  <si>
    <t xml:space="preserve">Propuestas</t>
  </si>
  <si>
    <t xml:space="preserve">Líneas vendidas</t>
  </si>
  <si>
    <t xml:space="preserve">Talleres nuevos con consumibles</t>
  </si>
  <si>
    <t xml:space="preserve">Ventas de consumibles (US$)</t>
  </si>
  <si>
    <t xml:space="preserve">—</t>
  </si>
  <si>
    <t xml:space="preserve">Seguidores nuevos (Instagram + LinkedIn)</t>
  </si>
  <si>
    <t xml:space="preserve">Visitas a la página /clt</t>
  </si>
  <si>
    <t xml:space="preserve">Mensajes de WhatsApp recibidos</t>
  </si>
  <si>
    <t xml:space="preserve">Costo por lead (US$)</t>
  </si>
  <si>
    <t xml:space="preserve">NPS clientes (90 días)</t>
  </si>
  <si>
    <t xml:space="preserve">Calendario de actividades (Gantt, 36 meses)</t>
  </si>
  <si>
    <t xml:space="preserve">Cambie inicio/fin y el gráfico se actualiza.</t>
  </si>
  <si>
    <t xml:space="preserve">Actividad</t>
  </si>
  <si>
    <t xml:space="preserve">Inicio (mes)</t>
  </si>
  <si>
    <t xml:space="preserve">Fin (mes)</t>
  </si>
  <si>
    <t xml:space="preserve">4</t>
  </si>
  <si>
    <t xml:space="preserve">5</t>
  </si>
  <si>
    <t xml:space="preserve">6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</si>
  <si>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</si>
  <si>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</si>
  <si>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</si>
  <si>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</si>
  <si>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</si>
  <si>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</si>
  <si>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</si>
  <si>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</si>
  <si>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</si>
  <si>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</si>
  <si>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</si>
  <si>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</si>
  <si>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</si>
  <si>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</si>
  <si>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</si>
  <si>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</si>
  <si>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</si>
  <si>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</si>
  <si>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</si>
  <si>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</si>
  <si>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</si>
  <si>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</si>
  <si>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</si>
  <si>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</si>
  <si>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</si>
  <si>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</si>
  <si>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</si>
  <si>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Kit de marca, web /clt, catálogo, fichas, videos</t>
  </si>
  <si>
    <t xml:space="preserve">CRM, WhatsApp Business, calculadora de retorno</t>
  </si>
  <si>
    <t xml:space="preserve">Envío de muestras ABM a las 17 cuentas</t>
  </si>
  <si>
    <t xml:space="preserve">Inauguración de la sala demo (Querétaro)</t>
  </si>
  <si>
    <t xml:space="preserve">Campaña LinkedIn + Instagram</t>
  </si>
  <si>
    <t xml:space="preserve">Lanzamiento de consumibles a talleres</t>
  </si>
  <si>
    <t xml:space="preserve">Programa «Clientes fundadores»</t>
  </si>
  <si>
    <t xml:space="preserve">Webinars mensuales / Academia Híbrida</t>
  </si>
  <si>
    <t xml:space="preserve">Días Híbridos: Guadalajara y León</t>
  </si>
  <si>
    <t xml:space="preserve">Días Híbridos: Puebla y Tijuana</t>
  </si>
  <si>
    <t xml:space="preserve">Días Híbridos: Monterrey y Mérida</t>
  </si>
  <si>
    <t xml:space="preserve">Casos de éxito en video</t>
  </si>
  <si>
    <t xml:space="preserve">Programa de referidos</t>
  </si>
  <si>
    <t xml:space="preserve">PRINTING United (con VSP)</t>
  </si>
  <si>
    <t xml:space="preserve">Distribuidores de química (Guadalajara, Puebla, León)</t>
  </si>
  <si>
    <t xml:space="preserve">FESPA México (año 2)</t>
  </si>
  <si>
    <t xml:space="preserve">Intermoda (Guadalajara)</t>
  </si>
  <si>
    <t xml:space="preserve">PRINTING United (año 2)</t>
  </si>
  <si>
    <t xml:space="preserve">Latam</t>
  </si>
  <si>
    <t xml:space="preserve">Ola 1: El Salvador, Honduras, Guatemala</t>
  </si>
  <si>
    <t xml:space="preserve">Apparel Sourcing Show (Guatemala)</t>
  </si>
  <si>
    <t xml:space="preserve">Ola 2: Perú y Colombia</t>
  </si>
  <si>
    <t xml:space="preserve">Colombiatex (Medellín)</t>
  </si>
  <si>
    <t xml:space="preserve">Perú Moda (Lima)</t>
  </si>
  <si>
    <t xml:space="preserve">Expansión a Latinoamérica</t>
  </si>
  <si>
    <t xml:space="preserve">Ola</t>
  </si>
  <si>
    <t xml:space="preserve">Cuándo</t>
  </si>
  <si>
    <t xml:space="preserve">Países</t>
  </si>
  <si>
    <t xml:space="preserve">Por qué</t>
  </si>
  <si>
    <t xml:space="preserve">Cómo entramos</t>
  </si>
  <si>
    <t xml:space="preserve">Año 2–3</t>
  </si>
  <si>
    <t xml:space="preserve">El Salvador, Honduras, Guatemala</t>
  </si>
  <si>
    <t xml:space="preserve">Maquila de exportación con serigrafía para marcas de EE. UU. (Hanes, Gildan, Tegra); cerca de México</t>
  </si>
  <si>
    <t xml:space="preserve">Venta directa desde México + técnico itinerante; Apparel Sourcing Show</t>
  </si>
  <si>
    <t xml:space="preserve">Perú y Colombia</t>
  </si>
  <si>
    <t xml:space="preserve">Algodón y tejido de punto de exportación (Topy Top, Textiles Camones); ferias fuertes</t>
  </si>
  <si>
    <t xml:space="preserve">Agente o distribuidor local con soporte técnico de TID; Colombiatex y Perú Moda</t>
  </si>
  <si>
    <t xml:space="preserve">Año 3–4</t>
  </si>
  <si>
    <t xml:space="preserve">República Dominicana, Haití y resto de Sudamérica</t>
  </si>
  <si>
    <t xml:space="preserve">Zonas francas con serigrafía (Gildan, Hansae)</t>
  </si>
  <si>
    <t xml:space="preserve">Desde Centroamérica y VSP; distribuidores de química</t>
  </si>
  <si>
    <t xml:space="preserve">• Condición para entrar: México con al menos 5 líneas instaladas y casos de éxito documentados.</t>
  </si>
  <si>
    <t xml:space="preserve">• Se reutiliza todo el material en español; ajustes locales por país (precios, crédito, logística).</t>
  </si>
  <si>
    <t xml:space="preserve">• Prospectos ya identificados: 122 empresas en Centroamérica, Caribe y Sudamérica (27 de prioridad A).</t>
  </si>
  <si>
    <t xml:space="preserve">Lo que pedimos a CLT para el marketing</t>
  </si>
  <si>
    <t xml:space="preserve">• Uso de marca, guía de identidad y material original (fotos, videos, fichas técnicas) para adaptarlo al español.</t>
  </si>
  <si>
    <t xml:space="preserve">• Fondo cooperativo de marketing del 3–5% de las compras del distribuidor.</t>
  </si>
  <si>
    <t xml:space="preserve">• Máquina de demostración en consignación o con descuento para la sala demo y las ferias.</t>
  </si>
  <si>
    <t xml:space="preserve">• Presencia de un ingeniero de CLT en el lanzamiento y en FESPA México.</t>
  </si>
  <si>
    <t xml:space="preserve">• Certificados químicos para OEM (por ejemplo OEKO-TEX ECO PASSPORT o ZDHC) y pruebas de lavado, si los tiene.</t>
  </si>
  <si>
    <t xml:space="preserve">• Canalización a TID / CEB de todos los prospectos de México y Latinoamérica que lleguen a CLT.</t>
  </si>
  <si>
    <t xml:space="preserve">Riesgos del plan</t>
  </si>
  <si>
    <t xml:space="preserve">Riesgo</t>
  </si>
  <si>
    <t xml:space="preserve">Mitigación</t>
  </si>
  <si>
    <t xml:space="preserve">Desconfianza hacia maquinaria china</t>
  </si>
  <si>
    <t xml:space="preserve">Pruebas en la tela del cliente, casos locales, garantía y refacciones en México</t>
  </si>
  <si>
    <t xml:space="preserve">Ciclo de venta largo en OEM (aprobación de marcas)</t>
  </si>
  <si>
    <t xml:space="preserve">Empezar por consumibles y estaciones digitales; usar la aprobación de un cliente para abrir a otros de la misma marca</t>
  </si>
  <si>
    <t xml:space="preserve">Presupuesto limitado</t>
  </si>
  <si>
    <t xml:space="preserve">Concentrar el 80% del gasto en las 17 cuentas y en la sala demo; fondo cooperativo de CLT</t>
  </si>
  <si>
    <t xml:space="preserve">Guerra de precios en consumibles</t>
  </si>
  <si>
    <t xml:space="preserve">Vender costo por pieza y asesoría técnica, no precio por kilo</t>
  </si>
  <si>
    <t xml:space="preserve">Dependencia de una sola persona de ventas</t>
  </si>
  <si>
    <t xml:space="preserve">CRM al día, materiales estandarizados y capacitación cruzada con TID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</si>
</sst>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%"/>
    <numFmt numFmtId="168" formatCode="&quot;US$&quot;#,##0"/>
    <numFmt numFmtId="169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F3B"/>
      <name val="Cambria"/>
      <family val="0"/>
      <charset val="1"/>
    </font>
    <font>
      <i val="true"/>
      <sz val="10"/>
      <color rgb="FF555555"/>
      <name val="Cambria"/>
      <family val="0"/>
      <charset val="1"/>
    </font>
    <font>
      <b val="true"/>
      <sz val="12"/>
      <color rgb="FFC2185B"/>
      <name val="Cambria"/>
      <family val="0"/>
      <charset val="1"/>
    </font>
    <font>
      <u val="single"/>
      <sz val="11"/>
      <color rgb="FF0079A8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1F3B"/>
        <bgColor rgb="FF003366"/>
      </patternFill>
    </fill>
    <fill>
      <patternFill patternType="solid">
        <fgColor rgb="FFEEF2F7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CE4EC"/>
        <bgColor rgb="FFEEF2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C"/>
      </left>
      <right style="thin">
        <color rgb="FFC9D1DC"/>
      </right>
      <top style="thin">
        <color rgb="FFC9D1DC"/>
      </top>
      <bottom style="thin">
        <color rgb="FFC9D1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C2185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9A8"/>
      <rgbColor rgb="FFC0C0C0"/>
      <rgbColor rgb="FF808080"/>
      <rgbColor rgb="FF9999FF"/>
      <rgbColor rgb="FFC2185B"/>
      <rgbColor rgb="FFFFF8E1"/>
      <rgbColor rgb="FFEEF2F7"/>
      <rgbColor rgb="FF660066"/>
      <rgbColor rgb="FFFF8080"/>
      <rgbColor rgb="FF0066CC"/>
      <rgbColor rgb="FFC9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1F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lan_Marketing_CLT_Mexico_Latam.xlsx" TargetMode="External"/><Relationship Id="rId2" Type="http://schemas.openxmlformats.org/officeDocument/2006/relationships/hyperlink" Target="Plan_Marketing_CLT_Mexico_Latam.xlsx" TargetMode="External"/><Relationship Id="rId3" Type="http://schemas.openxmlformats.org/officeDocument/2006/relationships/hyperlink" Target="Plan_Marketing_CLT_Mexico_Latam.xlsx" TargetMode="External"/><Relationship Id="rId4" Type="http://schemas.openxmlformats.org/officeDocument/2006/relationships/hyperlink" Target="Plan_Marketing_CLT_Mexico_Latam.xlsx" TargetMode="External"/><Relationship Id="rId5" Type="http://schemas.openxmlformats.org/officeDocument/2006/relationships/hyperlink" Target="Plan_Marketing_CLT_Mexico_Latam.xlsx" TargetMode="External"/><Relationship Id="rId6" Type="http://schemas.openxmlformats.org/officeDocument/2006/relationships/hyperlink" Target="Plan_Marketing_CLT_Mexico_Latam.xlsx" TargetMode="External"/><Relationship Id="rId7" Type="http://schemas.openxmlformats.org/officeDocument/2006/relationships/hyperlink" Target="Plan_Marketing_CLT_Mexico_Latam.xlsx" TargetMode="External"/><Relationship Id="rId8" Type="http://schemas.openxmlformats.org/officeDocument/2006/relationships/hyperlink" Target="Plan_Marketing_CLT_Mexico_Latam.xlsx" TargetMode="External"/><Relationship Id="rId9" Type="http://schemas.openxmlformats.org/officeDocument/2006/relationships/hyperlink" Target="Plan_Marketing_CLT_Mexico_Latam.xlsx" TargetMode="External"/><Relationship Id="rId10" Type="http://schemas.openxmlformats.org/officeDocument/2006/relationships/hyperlink" Target="Plan_Marketing_CLT_Mexico_Latam.xlsx" TargetMode="External"/><Relationship Id="rId11" Type="http://schemas.openxmlformats.org/officeDocument/2006/relationships/hyperlink" Target="Plan_Marketing_CLT_Mexico_Latam.xlsx" TargetMode="External"/><Relationship Id="rId12" Type="http://schemas.openxmlformats.org/officeDocument/2006/relationships/hyperlink" Target="Plan_Marketing_CLT_Mexico_Latam.xlsx" TargetMode="External"/><Relationship Id="rId13" Type="http://schemas.openxmlformats.org/officeDocument/2006/relationships/hyperlink" Target="Plan_Marketing_CLT_Mexico_Latam.xlsx" TargetMode="External"/><Relationship Id="rId14" Type="http://schemas.openxmlformats.org/officeDocument/2006/relationships/hyperlink" Target="Plan_Marketing_CLT_Mexico_Latam.xlsx" TargetMode="External"/><Relationship Id="rId15" Type="http://schemas.openxmlformats.org/officeDocument/2006/relationships/hyperlink" Target="Plan_Marketing_CLT_Mexico_Latam.xlsx" TargetMode="External"/><Relationship Id="rId16" Type="http://schemas.openxmlformats.org/officeDocument/2006/relationships/hyperlink" Target="Plan_Marketing_CLT_Mexico_Latam.xlsx" TargetMode="External"/><Relationship Id="rId17" Type="http://schemas.openxmlformats.org/officeDocument/2006/relationships/hyperlink" Target="Plan_Marketing_CLT_Mexico_Latam.xlsx" TargetMode="External"/><Relationship Id="rId18" Type="http://schemas.openxmlformats.org/officeDocument/2006/relationships/hyperlink" Target="Plan_Marketing_CLT_Mexico_Latam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D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45" hidden="false" customHeight="true" outlineLevel="0" collapsed="false">
      <c r="A5" s="3" t="s">
        <v>3</v>
      </c>
      <c r="B5" s="3"/>
      <c r="C5" s="3"/>
      <c r="D5" s="3"/>
    </row>
    <row r="7" customFormat="false" ht="31.5" hidden="false" customHeight="true" outlineLevel="0" collapsed="false">
      <c r="A7" s="3" t="s">
        <v>4</v>
      </c>
      <c r="B7" s="3"/>
      <c r="C7" s="3"/>
      <c r="D7" s="3"/>
    </row>
    <row r="8" customFormat="false" ht="31.5" hidden="false" customHeight="true" outlineLevel="0" collapsed="false">
      <c r="A8" s="3" t="s">
        <v>5</v>
      </c>
      <c r="B8" s="3"/>
      <c r="C8" s="3"/>
      <c r="D8" s="3"/>
    </row>
    <row r="9" customFormat="false" ht="31.5" hidden="false" customHeight="true" outlineLevel="0" collapsed="false">
      <c r="A9" s="3" t="s">
        <v>6</v>
      </c>
      <c r="B9" s="3"/>
      <c r="C9" s="3"/>
      <c r="D9" s="3"/>
    </row>
    <row r="10" customFormat="false" ht="31.5" hidden="false" customHeight="true" outlineLevel="0" collapsed="false">
      <c r="A10" s="3" t="s">
        <v>7</v>
      </c>
      <c r="B10" s="3"/>
      <c r="C10" s="3"/>
      <c r="D10" s="3"/>
    </row>
    <row r="11" customFormat="false" ht="31.5" hidden="false" customHeight="true" outlineLevel="0" collapsed="false">
      <c r="A11" s="3" t="s">
        <v>8</v>
      </c>
      <c r="B11" s="3"/>
      <c r="C11" s="3"/>
      <c r="D11" s="3"/>
    </row>
    <row r="13" customFormat="false" ht="15" hidden="false" customHeight="false" outlineLevel="0" collapsed="false">
      <c r="A13" s="4" t="s">
        <v>9</v>
      </c>
    </row>
    <row r="14" customFormat="false" ht="15" hidden="false" customHeight="false" outlineLevel="0" collapsed="false">
      <c r="A14" s="5" t="s">
        <v>10</v>
      </c>
    </row>
    <row r="15" customFormat="false" ht="15" hidden="false" customHeight="false" outlineLevel="0" collapsed="false">
      <c r="A15" s="5" t="s">
        <v>11</v>
      </c>
    </row>
    <row r="16" customFormat="false" ht="15" hidden="false" customHeight="false" outlineLevel="0" collapsed="false">
      <c r="A16" s="5" t="s">
        <v>12</v>
      </c>
    </row>
    <row r="17" customFormat="false" ht="15" hidden="false" customHeight="false" outlineLevel="0" collapsed="false">
      <c r="A17" s="5" t="s">
        <v>13</v>
      </c>
    </row>
    <row r="18" customFormat="false" ht="15" hidden="false" customHeight="false" outlineLevel="0" collapsed="false">
      <c r="A18" s="5" t="s">
        <v>14</v>
      </c>
    </row>
    <row r="19" customFormat="false" ht="15" hidden="false" customHeight="false" outlineLevel="0" collapsed="false">
      <c r="A19" s="5" t="s">
        <v>15</v>
      </c>
    </row>
    <row r="20" customFormat="false" ht="15" hidden="false" customHeight="false" outlineLevel="0" collapsed="false">
      <c r="A20" s="5" t="s">
        <v>16</v>
      </c>
    </row>
    <row r="21" customFormat="false" ht="15" hidden="false" customHeight="false" outlineLevel="0" collapsed="false">
      <c r="A21" s="5" t="s">
        <v>17</v>
      </c>
    </row>
    <row r="22" customFormat="false" ht="15" hidden="false" customHeight="false" outlineLevel="0" collapsed="false">
      <c r="A22" s="5" t="s">
        <v>18</v>
      </c>
    </row>
    <row r="23" customFormat="false" ht="15" hidden="false" customHeight="false" outlineLevel="0" collapsed="false">
      <c r="A23" s="5" t="s">
        <v>19</v>
      </c>
    </row>
    <row r="24" customFormat="false" ht="15" hidden="false" customHeight="false" outlineLevel="0" collapsed="false">
      <c r="A24" s="5" t="s">
        <v>20</v>
      </c>
    </row>
    <row r="25" customFormat="false" ht="15" hidden="false" customHeight="false" outlineLevel="0" collapsed="false">
      <c r="A25" s="5" t="s">
        <v>21</v>
      </c>
    </row>
    <row r="26" customFormat="false" ht="15" hidden="false" customHeight="false" outlineLevel="0" collapsed="false">
      <c r="A26" s="5" t="s">
        <v>22</v>
      </c>
    </row>
    <row r="27" customFormat="false" ht="15" hidden="false" customHeight="false" outlineLevel="0" collapsed="false">
      <c r="A27" s="5" t="s">
        <v>23</v>
      </c>
    </row>
    <row r="28" customFormat="false" ht="15" hidden="false" customHeight="false" outlineLevel="0" collapsed="false">
      <c r="A28" s="5" t="s">
        <v>24</v>
      </c>
    </row>
    <row r="29" customFormat="false" ht="15" hidden="false" customHeight="false" outlineLevel="0" collapsed="false">
      <c r="A29" s="5" t="s">
        <v>25</v>
      </c>
    </row>
    <row r="30" customFormat="false" ht="15" hidden="false" customHeight="false" outlineLevel="0" collapsed="false">
      <c r="A30" s="5" t="s">
        <v>26</v>
      </c>
    </row>
    <row r="31" customFormat="false" ht="15" hidden="false" customHeight="false" outlineLevel="0" collapsed="false">
      <c r="A31" s="5" t="s">
        <v>27</v>
      </c>
    </row>
    <row r="33" customFormat="false" ht="15" hidden="false" customHeight="false" outlineLevel="0" collapsed="false">
      <c r="A33" s="2" t="s">
        <v>28</v>
      </c>
    </row>
  </sheetData>
  <mergeCells count="6">
    <mergeCell ref="A5:D5"/>
    <mergeCell ref="A7:D7"/>
    <mergeCell ref="A8:D8"/>
    <mergeCell ref="A9:D9"/>
    <mergeCell ref="A10:D10"/>
    <mergeCell ref="A11:D11"/>
  </mergeCells>
  <hyperlinks>
    <hyperlink ref="A14" r:id="rId1" location="'Punto%20de%20partida'!A1" display="Punto de partida"/>
    <hyperlink ref="A15" r:id="rId2" location="'Objetivos'!A1" display="Objetivos"/>
    <hyperlink ref="A16" r:id="rId3" location="'Segmentos'!A1" display="Segmentos"/>
    <hyperlink ref="A17" r:id="rId4" location="'Compradores'!A1" display="Compradores"/>
    <hyperlink ref="A18" r:id="rId5" location="'Posicionamiento'!A1" display="Posicionamiento"/>
    <hyperlink ref="A19" r:id="rId6" location="'Mezcla%204P'!A1" display="Mezcla 4P"/>
    <hyperlink ref="A20" r:id="rId7" location="'Fases%20México'!A1" display="Fases México"/>
    <hyperlink ref="A21" r:id="rId8" location="'ABM%2017%20cuentas'!A1" display="ABM 17 cuentas"/>
    <hyperlink ref="A22" r:id="rId9" location="'Canales'!A1" display="Canales"/>
    <hyperlink ref="A23" r:id="rId10" location="'Contenido'!A1" display="Contenido"/>
    <hyperlink ref="A24" r:id="rId11" location="'Eventos'!A1" display="Eventos"/>
    <hyperlink ref="A25" r:id="rId12" location="'Embudo'!A1" display="Embudo"/>
    <hyperlink ref="A26" r:id="rId13" location="'Presupuesto'!A1" display="Presupuesto"/>
    <hyperlink ref="A27" r:id="rId14" location="'KPIs%20mensuales'!A1" display="KPIs mensuales"/>
    <hyperlink ref="A28" r:id="rId15" location="'Calendario'!A1" display="Calendario"/>
    <hyperlink ref="A29" r:id="rId16" location="'Latinoamérica'!A1" display="Latinoamérica"/>
    <hyperlink ref="A30" r:id="rId17" location="'Pedir%20a%20CLT'!A1" display="Pedir a CLT"/>
    <hyperlink ref="A31" r:id="rId18" location="'Riesgos'!A1" display="Riesgo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F3B"/>
    <pageSetUpPr fitToPage="true"/>
  </sheetPr>
  <dimension ref="A1:C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0"/>
    <col collapsed="false" customWidth="true" hidden="false" outlineLevel="0" max="3" min="3" style="0" width="55"/>
  </cols>
  <sheetData>
    <row r="1" customFormat="false" ht="19.7" hidden="false" customHeight="false" outlineLevel="0" collapsed="false">
      <c r="A1" s="1" t="s">
        <v>10</v>
      </c>
    </row>
    <row r="3" customFormat="false" ht="15" hidden="false" customHeight="false" outlineLevel="0" collapsed="false">
      <c r="A3" s="6" t="s">
        <v>29</v>
      </c>
      <c r="B3" s="6" t="s">
        <v>30</v>
      </c>
      <c r="C3" s="6" t="s">
        <v>31</v>
      </c>
    </row>
    <row r="4" customFormat="false" ht="41.75" hidden="false" customHeight="false" outlineLevel="0" collapsed="false">
      <c r="A4" s="7" t="s">
        <v>32</v>
      </c>
      <c r="B4" s="8" t="s">
        <v>33</v>
      </c>
      <c r="C4" s="8" t="s">
        <v>34</v>
      </c>
    </row>
    <row r="5" customFormat="false" ht="28.35" hidden="false" customHeight="false" outlineLevel="0" collapsed="false">
      <c r="A5" s="9" t="s">
        <v>35</v>
      </c>
      <c r="B5" s="10" t="s">
        <v>36</v>
      </c>
      <c r="C5" s="10" t="s">
        <v>37</v>
      </c>
    </row>
    <row r="6" customFormat="false" ht="41.75" hidden="false" customHeight="false" outlineLevel="0" collapsed="false">
      <c r="A6" s="7" t="s">
        <v>38</v>
      </c>
      <c r="B6" s="8" t="s">
        <v>39</v>
      </c>
      <c r="C6" s="8" t="s">
        <v>40</v>
      </c>
    </row>
    <row r="7" customFormat="false" ht="28.35" hidden="false" customHeight="false" outlineLevel="0" collapsed="false">
      <c r="A7" s="9" t="s">
        <v>41</v>
      </c>
      <c r="B7" s="10" t="s">
        <v>42</v>
      </c>
      <c r="C7" s="10" t="s">
        <v>43</v>
      </c>
    </row>
    <row r="8" customFormat="false" ht="28.35" hidden="false" customHeight="false" outlineLevel="0" collapsed="false">
      <c r="A8" s="7" t="s">
        <v>44</v>
      </c>
      <c r="B8" s="8" t="s">
        <v>45</v>
      </c>
      <c r="C8" s="8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F3B"/>
    <pageSetUpPr fitToPage="tru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8"/>
  </cols>
  <sheetData>
    <row r="1" customFormat="false" ht="19.7" hidden="false" customHeight="false" outlineLevel="0" collapsed="false">
      <c r="A1" s="1" t="s">
        <v>47</v>
      </c>
    </row>
    <row r="3" customFormat="false" ht="15" hidden="false" customHeight="false" outlineLevel="0" collapsed="false">
      <c r="A3" s="6" t="s">
        <v>48</v>
      </c>
      <c r="B3" s="6" t="s">
        <v>49</v>
      </c>
      <c r="C3" s="6" t="s">
        <v>50</v>
      </c>
      <c r="D3" s="6" t="s">
        <v>51</v>
      </c>
    </row>
    <row r="4" customFormat="false" ht="15" hidden="false" customHeight="false" outlineLevel="0" collapsed="false">
      <c r="A4" s="7" t="s">
        <v>52</v>
      </c>
      <c r="B4" s="8" t="s">
        <v>53</v>
      </c>
      <c r="C4" s="8" t="s">
        <v>54</v>
      </c>
      <c r="D4" s="8" t="s">
        <v>55</v>
      </c>
    </row>
    <row r="5" customFormat="false" ht="15" hidden="false" customHeight="false" outlineLevel="0" collapsed="false">
      <c r="A5" s="9" t="s">
        <v>56</v>
      </c>
      <c r="B5" s="10" t="s">
        <v>57</v>
      </c>
      <c r="C5" s="10" t="s">
        <v>58</v>
      </c>
      <c r="D5" s="10" t="s">
        <v>59</v>
      </c>
    </row>
    <row r="6" customFormat="false" ht="15" hidden="false" customHeight="false" outlineLevel="0" collapsed="false">
      <c r="A6" s="7" t="s">
        <v>60</v>
      </c>
      <c r="B6" s="8" t="s">
        <v>61</v>
      </c>
      <c r="C6" s="8" t="s">
        <v>62</v>
      </c>
      <c r="D6" s="8" t="s">
        <v>63</v>
      </c>
    </row>
    <row r="7" customFormat="false" ht="15" hidden="false" customHeight="false" outlineLevel="0" collapsed="false">
      <c r="A7" s="9" t="s">
        <v>64</v>
      </c>
      <c r="B7" s="10" t="s">
        <v>65</v>
      </c>
      <c r="C7" s="10" t="s">
        <v>66</v>
      </c>
      <c r="D7" s="10" t="s">
        <v>67</v>
      </c>
    </row>
    <row r="8" customFormat="false" ht="15" hidden="false" customHeight="false" outlineLevel="0" collapsed="false">
      <c r="A8" s="7" t="s">
        <v>68</v>
      </c>
      <c r="B8" s="8" t="s">
        <v>69</v>
      </c>
      <c r="C8" s="8" t="s">
        <v>70</v>
      </c>
      <c r="D8" s="8" t="s">
        <v>59</v>
      </c>
    </row>
    <row r="9" customFormat="false" ht="15" hidden="false" customHeight="false" outlineLevel="0" collapsed="false">
      <c r="A9" s="9" t="s">
        <v>71</v>
      </c>
      <c r="B9" s="10" t="s">
        <v>72</v>
      </c>
      <c r="C9" s="10" t="s">
        <v>73</v>
      </c>
      <c r="D9" s="10" t="s">
        <v>74</v>
      </c>
    </row>
    <row r="10" customFormat="false" ht="15" hidden="false" customHeight="false" outlineLevel="0" collapsed="false">
      <c r="A10" s="7" t="s">
        <v>75</v>
      </c>
      <c r="B10" s="8" t="s">
        <v>76</v>
      </c>
      <c r="C10" s="8" t="s">
        <v>77</v>
      </c>
      <c r="D10" s="8" t="s">
        <v>78</v>
      </c>
    </row>
    <row r="12" customFormat="false" ht="30" hidden="false" customHeight="true" outlineLevel="0" collapsed="false">
      <c r="A12" s="11" t="s">
        <v>79</v>
      </c>
      <c r="B12" s="11"/>
      <c r="C12" s="11"/>
      <c r="D12" s="11"/>
    </row>
  </sheetData>
  <mergeCells count="1">
    <mergeCell ref="A12:D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F3B"/>
    <pageSetUpPr fitToPage="true"/>
  </sheetPr>
  <dimension ref="A1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38"/>
    <col collapsed="false" customWidth="true" hidden="false" outlineLevel="0" max="4" min="4" style="0" width="40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1" t="s">
        <v>80</v>
      </c>
    </row>
    <row r="3" customFormat="false" ht="15" hidden="false" customHeight="false" outlineLevel="0" collapsed="false">
      <c r="A3" s="6" t="s">
        <v>81</v>
      </c>
      <c r="B3" s="6" t="s">
        <v>82</v>
      </c>
      <c r="C3" s="6" t="s">
        <v>83</v>
      </c>
      <c r="D3" s="6" t="s">
        <v>84</v>
      </c>
      <c r="E3" s="6" t="s">
        <v>85</v>
      </c>
    </row>
    <row r="4" customFormat="false" ht="41.75" hidden="false" customHeight="false" outlineLevel="0" collapsed="false">
      <c r="A4" s="7" t="s">
        <v>86</v>
      </c>
      <c r="B4" s="8" t="s">
        <v>87</v>
      </c>
      <c r="C4" s="8" t="s">
        <v>88</v>
      </c>
      <c r="D4" s="8" t="s">
        <v>89</v>
      </c>
      <c r="E4" s="8" t="s">
        <v>90</v>
      </c>
    </row>
    <row r="5" customFormat="false" ht="28.35" hidden="false" customHeight="false" outlineLevel="0" collapsed="false">
      <c r="A5" s="9" t="s">
        <v>91</v>
      </c>
      <c r="B5" s="10" t="s">
        <v>92</v>
      </c>
      <c r="C5" s="10" t="s">
        <v>93</v>
      </c>
      <c r="D5" s="10" t="s">
        <v>94</v>
      </c>
      <c r="E5" s="10" t="s">
        <v>90</v>
      </c>
    </row>
    <row r="6" customFormat="false" ht="28.35" hidden="false" customHeight="false" outlineLevel="0" collapsed="false">
      <c r="A6" s="7" t="s">
        <v>95</v>
      </c>
      <c r="B6" s="8" t="s">
        <v>96</v>
      </c>
      <c r="C6" s="8" t="s">
        <v>97</v>
      </c>
      <c r="D6" s="8" t="s">
        <v>98</v>
      </c>
      <c r="E6" s="8" t="s">
        <v>53</v>
      </c>
    </row>
    <row r="7" customFormat="false" ht="28.35" hidden="false" customHeight="false" outlineLevel="0" collapsed="false">
      <c r="A7" s="9" t="s">
        <v>99</v>
      </c>
      <c r="B7" s="10" t="s">
        <v>100</v>
      </c>
      <c r="C7" s="10" t="s">
        <v>101</v>
      </c>
      <c r="D7" s="10" t="s">
        <v>102</v>
      </c>
      <c r="E7" s="10" t="s">
        <v>53</v>
      </c>
    </row>
    <row r="8" customFormat="false" ht="15" hidden="false" customHeight="false" outlineLevel="0" collapsed="false">
      <c r="A8" s="7" t="s">
        <v>103</v>
      </c>
      <c r="B8" s="8" t="s">
        <v>104</v>
      </c>
      <c r="C8" s="8" t="s">
        <v>105</v>
      </c>
      <c r="D8" s="8" t="s">
        <v>106</v>
      </c>
      <c r="E8" s="8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F3B"/>
    <pageSetUpPr fitToPage="tru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42"/>
    <col collapsed="false" customWidth="true" hidden="false" outlineLevel="0" max="4" min="4" style="0" width="48"/>
  </cols>
  <sheetData>
    <row r="1" customFormat="false" ht="19.7" hidden="false" customHeight="false" outlineLevel="0" collapsed="false">
      <c r="A1" s="1" t="s">
        <v>108</v>
      </c>
    </row>
    <row r="3" customFormat="false" ht="15" hidden="false" customHeight="false" outlineLevel="0" collapsed="false">
      <c r="A3" s="6" t="s">
        <v>109</v>
      </c>
      <c r="B3" s="6" t="s">
        <v>110</v>
      </c>
      <c r="C3" s="6" t="s">
        <v>111</v>
      </c>
      <c r="D3" s="6" t="s">
        <v>112</v>
      </c>
    </row>
    <row r="4" customFormat="false" ht="28.35" hidden="false" customHeight="false" outlineLevel="0" collapsed="false">
      <c r="A4" s="7" t="s">
        <v>113</v>
      </c>
      <c r="B4" s="8" t="s">
        <v>114</v>
      </c>
      <c r="C4" s="8" t="s">
        <v>115</v>
      </c>
      <c r="D4" s="8" t="s">
        <v>116</v>
      </c>
    </row>
    <row r="5" customFormat="false" ht="28.35" hidden="false" customHeight="false" outlineLevel="0" collapsed="false">
      <c r="A5" s="9" t="s">
        <v>117</v>
      </c>
      <c r="B5" s="10" t="s">
        <v>118</v>
      </c>
      <c r="C5" s="10" t="s">
        <v>119</v>
      </c>
      <c r="D5" s="10" t="s">
        <v>120</v>
      </c>
    </row>
    <row r="6" customFormat="false" ht="28.35" hidden="false" customHeight="false" outlineLevel="0" collapsed="false">
      <c r="A6" s="7" t="s">
        <v>121</v>
      </c>
      <c r="B6" s="8" t="s">
        <v>122</v>
      </c>
      <c r="C6" s="8" t="s">
        <v>123</v>
      </c>
      <c r="D6" s="8" t="s">
        <v>124</v>
      </c>
    </row>
    <row r="7" customFormat="false" ht="28.35" hidden="false" customHeight="false" outlineLevel="0" collapsed="false">
      <c r="A7" s="9" t="s">
        <v>125</v>
      </c>
      <c r="B7" s="10" t="s">
        <v>126</v>
      </c>
      <c r="C7" s="10" t="s">
        <v>127</v>
      </c>
      <c r="D7" s="10" t="s">
        <v>128</v>
      </c>
    </row>
    <row r="8" customFormat="false" ht="28.35" hidden="false" customHeight="false" outlineLevel="0" collapsed="false">
      <c r="A8" s="7" t="s">
        <v>129</v>
      </c>
      <c r="B8" s="8" t="s">
        <v>130</v>
      </c>
      <c r="C8" s="8" t="s">
        <v>131</v>
      </c>
      <c r="D8" s="8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F3B"/>
    <pageSetUpPr fitToPage="tru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5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133</v>
      </c>
    </row>
    <row r="3" customFormat="false" ht="15" hidden="false" customHeight="false" outlineLevel="0" collapsed="false">
      <c r="A3" s="4" t="s">
        <v>134</v>
      </c>
    </row>
    <row r="4" customFormat="false" ht="45" hidden="false" customHeight="true" outlineLevel="0" collapsed="false">
      <c r="A4" s="3" t="s">
        <v>135</v>
      </c>
      <c r="B4" s="3"/>
      <c r="C4" s="3"/>
      <c r="D4" s="3"/>
    </row>
    <row r="6" customFormat="false" ht="15" hidden="false" customHeight="false" outlineLevel="0" collapsed="false">
      <c r="A6" s="4" t="s">
        <v>136</v>
      </c>
    </row>
    <row r="7" customFormat="false" ht="31.5" hidden="false" customHeight="true" outlineLevel="0" collapsed="false">
      <c r="A7" s="3" t="s">
        <v>137</v>
      </c>
      <c r="B7" s="3"/>
      <c r="C7" s="3"/>
      <c r="D7" s="3"/>
    </row>
    <row r="8" customFormat="false" ht="31.5" hidden="false" customHeight="true" outlineLevel="0" collapsed="false">
      <c r="A8" s="3" t="s">
        <v>138</v>
      </c>
      <c r="B8" s="3"/>
      <c r="C8" s="3"/>
      <c r="D8" s="3"/>
    </row>
    <row r="9" customFormat="false" ht="31.5" hidden="false" customHeight="true" outlineLevel="0" collapsed="false">
      <c r="A9" s="3" t="s">
        <v>139</v>
      </c>
      <c r="B9" s="3"/>
      <c r="C9" s="3"/>
      <c r="D9" s="3"/>
    </row>
    <row r="11" customFormat="false" ht="15" hidden="false" customHeight="false" outlineLevel="0" collapsed="false">
      <c r="A11" s="4" t="s">
        <v>140</v>
      </c>
    </row>
    <row r="12" customFormat="false" ht="15" hidden="false" customHeight="false" outlineLevel="0" collapsed="false">
      <c r="A12" s="6" t="s">
        <v>141</v>
      </c>
      <c r="B12" s="6" t="s">
        <v>142</v>
      </c>
      <c r="C12" s="6" t="s">
        <v>143</v>
      </c>
    </row>
    <row r="13" customFormat="false" ht="28.35" hidden="false" customHeight="false" outlineLevel="0" collapsed="false">
      <c r="A13" s="7" t="s">
        <v>144</v>
      </c>
      <c r="B13" s="8" t="s">
        <v>145</v>
      </c>
      <c r="C13" s="8" t="s">
        <v>146</v>
      </c>
    </row>
    <row r="14" customFormat="false" ht="28.35" hidden="false" customHeight="false" outlineLevel="0" collapsed="false">
      <c r="A14" s="9" t="s">
        <v>147</v>
      </c>
      <c r="B14" s="10" t="s">
        <v>148</v>
      </c>
      <c r="C14" s="10" t="s">
        <v>149</v>
      </c>
    </row>
    <row r="15" customFormat="false" ht="28.35" hidden="false" customHeight="false" outlineLevel="0" collapsed="false">
      <c r="A15" s="7" t="s">
        <v>150</v>
      </c>
      <c r="B15" s="8" t="s">
        <v>151</v>
      </c>
      <c r="C15" s="8" t="s">
        <v>152</v>
      </c>
    </row>
    <row r="17" customFormat="false" ht="15" hidden="false" customHeight="false" outlineLevel="0" collapsed="false">
      <c r="A17" s="4" t="s">
        <v>153</v>
      </c>
    </row>
    <row r="18" customFormat="false" ht="31.5" hidden="false" customHeight="true" outlineLevel="0" collapsed="false">
      <c r="A18" s="3" t="s">
        <v>154</v>
      </c>
      <c r="B18" s="3"/>
      <c r="C18" s="3"/>
      <c r="D18" s="3"/>
    </row>
    <row r="19" customFormat="false" ht="31.5" hidden="false" customHeight="true" outlineLevel="0" collapsed="false">
      <c r="A19" s="3" t="s">
        <v>155</v>
      </c>
      <c r="B19" s="3"/>
      <c r="C19" s="3"/>
      <c r="D19" s="3"/>
    </row>
    <row r="20" customFormat="false" ht="31.5" hidden="false" customHeight="true" outlineLevel="0" collapsed="false">
      <c r="A20" s="3" t="s">
        <v>156</v>
      </c>
      <c r="B20" s="3"/>
      <c r="C20" s="3"/>
      <c r="D20" s="3"/>
    </row>
  </sheetData>
  <mergeCells count="7">
    <mergeCell ref="A4:D4"/>
    <mergeCell ref="A7:D7"/>
    <mergeCell ref="A8:D8"/>
    <mergeCell ref="A9:D9"/>
    <mergeCell ref="A18:D18"/>
    <mergeCell ref="A19:D19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F3B"/>
    <pageSetUpPr fitToPage="true"/>
  </sheetPr>
  <dimension ref="A1:B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157</v>
      </c>
    </row>
    <row r="3" customFormat="false" ht="15" hidden="false" customHeight="false" outlineLevel="0" collapsed="false">
      <c r="A3" s="6" t="s">
        <v>158</v>
      </c>
      <c r="B3" s="6" t="s">
        <v>159</v>
      </c>
    </row>
    <row r="4" customFormat="false" ht="28.35" hidden="false" customHeight="false" outlineLevel="0" collapsed="false">
      <c r="A4" s="7" t="s">
        <v>160</v>
      </c>
      <c r="B4" s="8" t="s">
        <v>161</v>
      </c>
    </row>
    <row r="5" customFormat="false" ht="41.75" hidden="false" customHeight="false" outlineLevel="0" collapsed="false">
      <c r="A5" s="9" t="s">
        <v>162</v>
      </c>
      <c r="B5" s="10" t="s">
        <v>163</v>
      </c>
    </row>
    <row r="6" customFormat="false" ht="28.35" hidden="false" customHeight="false" outlineLevel="0" collapsed="false">
      <c r="A6" s="7" t="s">
        <v>164</v>
      </c>
      <c r="B6" s="8" t="s">
        <v>165</v>
      </c>
    </row>
    <row r="7" customFormat="false" ht="15" hidden="false" customHeight="false" outlineLevel="0" collapsed="false">
      <c r="A7" s="9" t="s">
        <v>166</v>
      </c>
      <c r="B7" s="10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F3B"/>
    <pageSetUpPr fitToPage="tru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80"/>
  </cols>
  <sheetData>
    <row r="1" customFormat="false" ht="19.7" hidden="false" customHeight="false" outlineLevel="0" collapsed="false">
      <c r="A1" s="1" t="s">
        <v>168</v>
      </c>
    </row>
    <row r="3" customFormat="false" ht="15" hidden="false" customHeight="false" outlineLevel="0" collapsed="false">
      <c r="A3" s="6" t="s">
        <v>169</v>
      </c>
      <c r="B3" s="6" t="s">
        <v>170</v>
      </c>
      <c r="C3" s="6" t="s">
        <v>171</v>
      </c>
      <c r="D3" s="6" t="s">
        <v>172</v>
      </c>
    </row>
    <row r="4" customFormat="false" ht="28.35" hidden="false" customHeight="false" outlineLevel="0" collapsed="false">
      <c r="A4" s="7" t="s">
        <v>173</v>
      </c>
      <c r="B4" s="8" t="s">
        <v>174</v>
      </c>
      <c r="C4" s="8" t="s">
        <v>175</v>
      </c>
      <c r="D4" s="8" t="s">
        <v>176</v>
      </c>
    </row>
    <row r="5" customFormat="false" ht="28.35" hidden="false" customHeight="false" outlineLevel="0" collapsed="false">
      <c r="A5" s="9" t="s">
        <v>177</v>
      </c>
      <c r="B5" s="10" t="s">
        <v>178</v>
      </c>
      <c r="C5" s="10" t="s">
        <v>179</v>
      </c>
      <c r="D5" s="10" t="s">
        <v>180</v>
      </c>
    </row>
    <row r="6" customFormat="false" ht="28.35" hidden="false" customHeight="false" outlineLevel="0" collapsed="false">
      <c r="A6" s="7" t="s">
        <v>181</v>
      </c>
      <c r="B6" s="8" t="s">
        <v>182</v>
      </c>
      <c r="C6" s="8" t="s">
        <v>183</v>
      </c>
      <c r="D6" s="8" t="s">
        <v>184</v>
      </c>
    </row>
    <row r="7" customFormat="false" ht="28.35" hidden="false" customHeight="false" outlineLevel="0" collapsed="false">
      <c r="A7" s="9" t="s">
        <v>185</v>
      </c>
      <c r="B7" s="10" t="s">
        <v>186</v>
      </c>
      <c r="C7" s="10" t="s">
        <v>187</v>
      </c>
      <c r="D7" s="10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L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40"/>
    <col collapsed="false" customWidth="true" hidden="false" outlineLevel="0" max="10" min="6" style="0" width="14"/>
    <col collapsed="false" customWidth="true" hidden="false" outlineLevel="0" max="11" min="11" style="0" width="16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189</v>
      </c>
    </row>
    <row r="2" customFormat="false" ht="15" hidden="false" customHeight="false" outlineLevel="0" collapsed="false">
      <c r="A2" s="2" t="s">
        <v>190</v>
      </c>
    </row>
    <row r="4" customFormat="false" ht="31.5" hidden="false" customHeight="true" outlineLevel="0" collapsed="false">
      <c r="A4" s="3" t="s">
        <v>191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customFormat="false" ht="31.5" hidden="false" customHeight="true" outlineLevel="0" collapsed="false">
      <c r="A5" s="3" t="s">
        <v>192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customFormat="false" ht="31.5" hidden="false" customHeight="true" outlineLevel="0" collapsed="false">
      <c r="A6" s="3" t="s">
        <v>193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customFormat="false" ht="31.5" hidden="false" customHeight="true" outlineLevel="0" collapsed="false">
      <c r="A7" s="3" t="s">
        <v>194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customFormat="false" ht="31.5" hidden="false" customHeight="true" outlineLevel="0" collapsed="false">
      <c r="A8" s="3" t="s">
        <v>195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customFormat="false" ht="31.5" hidden="false" customHeight="true" outlineLevel="0" collapsed="false">
      <c r="A9" s="3" t="s">
        <v>196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2" customFormat="false" ht="28.35" hidden="false" customHeight="false" outlineLevel="0" collapsed="false">
      <c r="A12" s="6" t="s">
        <v>197</v>
      </c>
      <c r="B12" s="6" t="s">
        <v>198</v>
      </c>
      <c r="C12" s="6" t="s">
        <v>81</v>
      </c>
      <c r="D12" s="6" t="s">
        <v>199</v>
      </c>
      <c r="E12" s="6" t="s">
        <v>200</v>
      </c>
      <c r="F12" s="6" t="s">
        <v>201</v>
      </c>
      <c r="G12" s="6" t="s">
        <v>202</v>
      </c>
      <c r="H12" s="6" t="s">
        <v>203</v>
      </c>
      <c r="I12" s="6" t="s">
        <v>204</v>
      </c>
      <c r="J12" s="6" t="s">
        <v>205</v>
      </c>
      <c r="K12" s="6" t="s">
        <v>206</v>
      </c>
      <c r="L12" s="6" t="s">
        <v>207</v>
      </c>
    </row>
    <row r="13" customFormat="false" ht="41.75" hidden="false" customHeight="false" outlineLevel="0" collapsed="false">
      <c r="A13" s="7" t="n">
        <v>1</v>
      </c>
      <c r="B13" s="8" t="s">
        <v>208</v>
      </c>
      <c r="C13" s="8" t="s">
        <v>209</v>
      </c>
      <c r="D13" s="8" t="s">
        <v>210</v>
      </c>
      <c r="E13" s="8" t="s">
        <v>211</v>
      </c>
      <c r="F13" s="12"/>
      <c r="G13" s="12"/>
      <c r="H13" s="12"/>
      <c r="I13" s="12"/>
      <c r="J13" s="12"/>
      <c r="K13" s="13" t="s">
        <v>212</v>
      </c>
      <c r="L13" s="14"/>
    </row>
    <row r="14" customFormat="false" ht="28.35" hidden="false" customHeight="false" outlineLevel="0" collapsed="false">
      <c r="A14" s="9" t="n">
        <v>2</v>
      </c>
      <c r="B14" s="10" t="s">
        <v>213</v>
      </c>
      <c r="C14" s="10" t="s">
        <v>209</v>
      </c>
      <c r="D14" s="10" t="s">
        <v>214</v>
      </c>
      <c r="E14" s="10" t="s">
        <v>215</v>
      </c>
      <c r="F14" s="12"/>
      <c r="G14" s="12"/>
      <c r="H14" s="12"/>
      <c r="I14" s="12"/>
      <c r="J14" s="12"/>
      <c r="K14" s="13" t="s">
        <v>212</v>
      </c>
      <c r="L14" s="14"/>
    </row>
    <row r="15" customFormat="false" ht="28.35" hidden="false" customHeight="false" outlineLevel="0" collapsed="false">
      <c r="A15" s="7" t="n">
        <v>3</v>
      </c>
      <c r="B15" s="8" t="s">
        <v>216</v>
      </c>
      <c r="C15" s="8" t="s">
        <v>209</v>
      </c>
      <c r="D15" s="8" t="s">
        <v>217</v>
      </c>
      <c r="E15" s="8" t="s">
        <v>218</v>
      </c>
      <c r="F15" s="12"/>
      <c r="G15" s="12"/>
      <c r="H15" s="12"/>
      <c r="I15" s="12"/>
      <c r="J15" s="12"/>
      <c r="K15" s="13" t="s">
        <v>212</v>
      </c>
      <c r="L15" s="14"/>
    </row>
    <row r="16" customFormat="false" ht="28.35" hidden="false" customHeight="false" outlineLevel="0" collapsed="false">
      <c r="A16" s="9" t="n">
        <v>4</v>
      </c>
      <c r="B16" s="10" t="s">
        <v>219</v>
      </c>
      <c r="C16" s="10" t="s">
        <v>209</v>
      </c>
      <c r="D16" s="10" t="s">
        <v>220</v>
      </c>
      <c r="E16" s="10" t="s">
        <v>221</v>
      </c>
      <c r="F16" s="12"/>
      <c r="G16" s="12"/>
      <c r="H16" s="12"/>
      <c r="I16" s="12"/>
      <c r="J16" s="12"/>
      <c r="K16" s="13" t="s">
        <v>212</v>
      </c>
      <c r="L16" s="14"/>
    </row>
    <row r="17" customFormat="false" ht="41.75" hidden="false" customHeight="false" outlineLevel="0" collapsed="false">
      <c r="A17" s="7" t="n">
        <v>5</v>
      </c>
      <c r="B17" s="8" t="s">
        <v>222</v>
      </c>
      <c r="C17" s="8" t="s">
        <v>209</v>
      </c>
      <c r="D17" s="8" t="s">
        <v>223</v>
      </c>
      <c r="E17" s="8" t="s">
        <v>224</v>
      </c>
      <c r="F17" s="12"/>
      <c r="G17" s="12"/>
      <c r="H17" s="12"/>
      <c r="I17" s="12"/>
      <c r="J17" s="12"/>
      <c r="K17" s="13" t="s">
        <v>212</v>
      </c>
      <c r="L17" s="14"/>
    </row>
    <row r="18" customFormat="false" ht="41.75" hidden="false" customHeight="false" outlineLevel="0" collapsed="false">
      <c r="A18" s="9" t="n">
        <v>6</v>
      </c>
      <c r="B18" s="10" t="s">
        <v>225</v>
      </c>
      <c r="C18" s="10" t="s">
        <v>209</v>
      </c>
      <c r="D18" s="10" t="s">
        <v>223</v>
      </c>
      <c r="E18" s="10" t="s">
        <v>226</v>
      </c>
      <c r="F18" s="12"/>
      <c r="G18" s="12"/>
      <c r="H18" s="12"/>
      <c r="I18" s="12"/>
      <c r="J18" s="12"/>
      <c r="K18" s="13" t="s">
        <v>212</v>
      </c>
      <c r="L18" s="14"/>
    </row>
    <row r="19" customFormat="false" ht="28.35" hidden="false" customHeight="false" outlineLevel="0" collapsed="false">
      <c r="A19" s="7" t="n">
        <v>7</v>
      </c>
      <c r="B19" s="8" t="s">
        <v>227</v>
      </c>
      <c r="C19" s="8" t="s">
        <v>209</v>
      </c>
      <c r="D19" s="8" t="s">
        <v>210</v>
      </c>
      <c r="E19" s="8" t="s">
        <v>228</v>
      </c>
      <c r="F19" s="12"/>
      <c r="G19" s="12"/>
      <c r="H19" s="12"/>
      <c r="I19" s="12"/>
      <c r="J19" s="12"/>
      <c r="K19" s="13" t="s">
        <v>212</v>
      </c>
      <c r="L19" s="14"/>
    </row>
    <row r="20" customFormat="false" ht="28.35" hidden="false" customHeight="false" outlineLevel="0" collapsed="false">
      <c r="A20" s="9" t="n">
        <v>8</v>
      </c>
      <c r="B20" s="10" t="s">
        <v>229</v>
      </c>
      <c r="C20" s="10" t="s">
        <v>209</v>
      </c>
      <c r="D20" s="10" t="s">
        <v>230</v>
      </c>
      <c r="E20" s="10" t="s">
        <v>231</v>
      </c>
      <c r="F20" s="12"/>
      <c r="G20" s="12"/>
      <c r="H20" s="12"/>
      <c r="I20" s="12"/>
      <c r="J20" s="12"/>
      <c r="K20" s="13" t="s">
        <v>212</v>
      </c>
      <c r="L20" s="14"/>
    </row>
    <row r="21" customFormat="false" ht="28.35" hidden="false" customHeight="false" outlineLevel="0" collapsed="false">
      <c r="A21" s="7" t="n">
        <v>9</v>
      </c>
      <c r="B21" s="8" t="s">
        <v>232</v>
      </c>
      <c r="C21" s="8" t="s">
        <v>209</v>
      </c>
      <c r="D21" s="8" t="s">
        <v>233</v>
      </c>
      <c r="E21" s="8" t="s">
        <v>234</v>
      </c>
      <c r="F21" s="12"/>
      <c r="G21" s="12"/>
      <c r="H21" s="12"/>
      <c r="I21" s="12"/>
      <c r="J21" s="12"/>
      <c r="K21" s="13" t="s">
        <v>212</v>
      </c>
      <c r="L21" s="14"/>
    </row>
    <row r="22" customFormat="false" ht="41.75" hidden="false" customHeight="false" outlineLevel="0" collapsed="false">
      <c r="A22" s="9" t="n">
        <v>10</v>
      </c>
      <c r="B22" s="10" t="s">
        <v>235</v>
      </c>
      <c r="C22" s="10" t="s">
        <v>236</v>
      </c>
      <c r="D22" s="10" t="s">
        <v>237</v>
      </c>
      <c r="E22" s="10" t="s">
        <v>238</v>
      </c>
      <c r="F22" s="12"/>
      <c r="G22" s="12"/>
      <c r="H22" s="12"/>
      <c r="I22" s="12"/>
      <c r="J22" s="12"/>
      <c r="K22" s="13" t="s">
        <v>212</v>
      </c>
      <c r="L22" s="14"/>
    </row>
    <row r="23" customFormat="false" ht="41.75" hidden="false" customHeight="false" outlineLevel="0" collapsed="false">
      <c r="A23" s="7" t="n">
        <v>11</v>
      </c>
      <c r="B23" s="8" t="s">
        <v>239</v>
      </c>
      <c r="C23" s="8" t="s">
        <v>236</v>
      </c>
      <c r="D23" s="8" t="s">
        <v>240</v>
      </c>
      <c r="E23" s="8" t="s">
        <v>241</v>
      </c>
      <c r="F23" s="12"/>
      <c r="G23" s="12"/>
      <c r="H23" s="12"/>
      <c r="I23" s="12"/>
      <c r="J23" s="12"/>
      <c r="K23" s="13" t="s">
        <v>212</v>
      </c>
      <c r="L23" s="14"/>
    </row>
    <row r="24" customFormat="false" ht="28.35" hidden="false" customHeight="false" outlineLevel="0" collapsed="false">
      <c r="A24" s="9" t="n">
        <v>12</v>
      </c>
      <c r="B24" s="10" t="s">
        <v>242</v>
      </c>
      <c r="C24" s="10" t="s">
        <v>236</v>
      </c>
      <c r="D24" s="10" t="s">
        <v>243</v>
      </c>
      <c r="E24" s="10" t="s">
        <v>244</v>
      </c>
      <c r="F24" s="12"/>
      <c r="G24" s="12"/>
      <c r="H24" s="12"/>
      <c r="I24" s="12"/>
      <c r="J24" s="12"/>
      <c r="K24" s="13" t="s">
        <v>212</v>
      </c>
      <c r="L24" s="14"/>
    </row>
    <row r="25" customFormat="false" ht="41.75" hidden="false" customHeight="false" outlineLevel="0" collapsed="false">
      <c r="A25" s="7" t="n">
        <v>13</v>
      </c>
      <c r="B25" s="8" t="s">
        <v>245</v>
      </c>
      <c r="C25" s="8" t="s">
        <v>236</v>
      </c>
      <c r="D25" s="8" t="s">
        <v>243</v>
      </c>
      <c r="E25" s="8" t="s">
        <v>246</v>
      </c>
      <c r="F25" s="12"/>
      <c r="G25" s="12"/>
      <c r="H25" s="12"/>
      <c r="I25" s="12"/>
      <c r="J25" s="12"/>
      <c r="K25" s="13" t="s">
        <v>212</v>
      </c>
      <c r="L25" s="14"/>
    </row>
    <row r="26" customFormat="false" ht="28.35" hidden="false" customHeight="false" outlineLevel="0" collapsed="false">
      <c r="A26" s="9" t="n">
        <v>14</v>
      </c>
      <c r="B26" s="10" t="s">
        <v>247</v>
      </c>
      <c r="C26" s="10" t="s">
        <v>236</v>
      </c>
      <c r="D26" s="10" t="s">
        <v>243</v>
      </c>
      <c r="E26" s="10" t="s">
        <v>248</v>
      </c>
      <c r="F26" s="12"/>
      <c r="G26" s="12"/>
      <c r="H26" s="12"/>
      <c r="I26" s="12"/>
      <c r="J26" s="12"/>
      <c r="K26" s="13" t="s">
        <v>212</v>
      </c>
      <c r="L26" s="14"/>
    </row>
    <row r="27" customFormat="false" ht="41.75" hidden="false" customHeight="false" outlineLevel="0" collapsed="false">
      <c r="A27" s="7" t="n">
        <v>15</v>
      </c>
      <c r="B27" s="8" t="s">
        <v>249</v>
      </c>
      <c r="C27" s="8" t="s">
        <v>236</v>
      </c>
      <c r="D27" s="8" t="s">
        <v>243</v>
      </c>
      <c r="E27" s="8" t="s">
        <v>250</v>
      </c>
      <c r="F27" s="12"/>
      <c r="G27" s="12"/>
      <c r="H27" s="12"/>
      <c r="I27" s="12"/>
      <c r="J27" s="12"/>
      <c r="K27" s="13" t="s">
        <v>212</v>
      </c>
      <c r="L27" s="14"/>
    </row>
    <row r="28" customFormat="false" ht="55.2" hidden="false" customHeight="false" outlineLevel="0" collapsed="false">
      <c r="A28" s="9" t="n">
        <v>16</v>
      </c>
      <c r="B28" s="10" t="s">
        <v>251</v>
      </c>
      <c r="C28" s="10" t="s">
        <v>236</v>
      </c>
      <c r="D28" s="10" t="s">
        <v>214</v>
      </c>
      <c r="E28" s="10" t="s">
        <v>252</v>
      </c>
      <c r="F28" s="12"/>
      <c r="G28" s="12"/>
      <c r="H28" s="12"/>
      <c r="I28" s="12"/>
      <c r="J28" s="12"/>
      <c r="K28" s="13" t="s">
        <v>212</v>
      </c>
      <c r="L28" s="14"/>
    </row>
    <row r="29" customFormat="false" ht="41.75" hidden="false" customHeight="false" outlineLevel="0" collapsed="false">
      <c r="A29" s="7" t="n">
        <v>17</v>
      </c>
      <c r="B29" s="8" t="s">
        <v>253</v>
      </c>
      <c r="C29" s="8" t="s">
        <v>236</v>
      </c>
      <c r="D29" s="8" t="s">
        <v>254</v>
      </c>
      <c r="E29" s="8" t="s">
        <v>255</v>
      </c>
      <c r="F29" s="12"/>
      <c r="G29" s="12"/>
      <c r="H29" s="12"/>
      <c r="I29" s="12"/>
      <c r="J29" s="12"/>
      <c r="K29" s="13" t="s">
        <v>212</v>
      </c>
      <c r="L29" s="14"/>
    </row>
    <row r="31" customFormat="false" ht="15" hidden="false" customHeight="false" outlineLevel="0" collapsed="false">
      <c r="B31" s="15" t="s">
        <v>256</v>
      </c>
      <c r="E31" s="16" t="n">
        <f aca="false">COUNTA(H13:H29)+COUNTA(I13:I29)-SUMPRODUCT((H13:H29&lt;&gt;"")*(I13:I29&lt;&gt;""))</f>
        <v>0</v>
      </c>
    </row>
    <row r="32" customFormat="false" ht="15" hidden="false" customHeight="false" outlineLevel="0" collapsed="false">
      <c r="B32" s="15" t="s">
        <v>257</v>
      </c>
      <c r="E32" s="0" t="n">
        <v>10</v>
      </c>
    </row>
  </sheetData>
  <mergeCells count="6">
    <mergeCell ref="A4:L4"/>
    <mergeCell ref="A5:L5"/>
    <mergeCell ref="A6:L6"/>
    <mergeCell ref="A7:L7"/>
    <mergeCell ref="A8:L8"/>
    <mergeCell ref="A9:L9"/>
  </mergeCells>
  <dataValidations count="1">
    <dataValidation allowBlank="true" errorStyle="stop" operator="between" showDropDown="false" showErrorMessage="false" showInputMessage="false" sqref="K13:K29" type="list">
      <formula1>"Por contactar,Muestra enviada,Demo agendada,Piloto,Propuesta,Ganado,Perdido,En pausa"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F3B"/>
    <pageSetUpPr fitToPage="tru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8"/>
    <col collapsed="false" customWidth="true" hidden="false" outlineLevel="0" max="3" min="3" style="0" width="60"/>
    <col collapsed="false" customWidth="true" hidden="false" outlineLevel="0" max="4" min="4" style="0" width="32"/>
  </cols>
  <sheetData>
    <row r="1" customFormat="false" ht="19.7" hidden="false" customHeight="false" outlineLevel="0" collapsed="false">
      <c r="A1" s="1" t="s">
        <v>258</v>
      </c>
    </row>
    <row r="3" customFormat="false" ht="15" hidden="false" customHeight="false" outlineLevel="0" collapsed="false">
      <c r="A3" s="6" t="s">
        <v>259</v>
      </c>
      <c r="B3" s="6" t="s">
        <v>260</v>
      </c>
      <c r="C3" s="6" t="s">
        <v>261</v>
      </c>
      <c r="D3" s="6" t="s">
        <v>48</v>
      </c>
    </row>
    <row r="4" customFormat="false" ht="15" hidden="false" customHeight="false" outlineLevel="0" collapsed="false">
      <c r="A4" s="7" t="s">
        <v>262</v>
      </c>
      <c r="B4" s="8" t="s">
        <v>263</v>
      </c>
      <c r="C4" s="8" t="s">
        <v>264</v>
      </c>
      <c r="D4" s="8" t="s">
        <v>265</v>
      </c>
    </row>
    <row r="5" customFormat="false" ht="28.35" hidden="false" customHeight="false" outlineLevel="0" collapsed="false">
      <c r="A5" s="9" t="s">
        <v>266</v>
      </c>
      <c r="B5" s="10" t="s">
        <v>267</v>
      </c>
      <c r="C5" s="10" t="s">
        <v>268</v>
      </c>
      <c r="D5" s="10" t="s">
        <v>269</v>
      </c>
    </row>
    <row r="6" customFormat="false" ht="28.35" hidden="false" customHeight="false" outlineLevel="0" collapsed="false">
      <c r="A6" s="7" t="s">
        <v>270</v>
      </c>
      <c r="B6" s="8" t="s">
        <v>271</v>
      </c>
      <c r="C6" s="8" t="s">
        <v>272</v>
      </c>
      <c r="D6" s="8" t="s">
        <v>273</v>
      </c>
    </row>
    <row r="7" customFormat="false" ht="15" hidden="false" customHeight="false" outlineLevel="0" collapsed="false">
      <c r="A7" s="9" t="s">
        <v>274</v>
      </c>
      <c r="B7" s="10" t="s">
        <v>275</v>
      </c>
      <c r="C7" s="10" t="s">
        <v>276</v>
      </c>
      <c r="D7" s="10" t="s">
        <v>277</v>
      </c>
    </row>
    <row r="8" customFormat="false" ht="28.35" hidden="false" customHeight="false" outlineLevel="0" collapsed="false">
      <c r="A8" s="7" t="s">
        <v>278</v>
      </c>
      <c r="B8" s="8" t="s">
        <v>279</v>
      </c>
      <c r="C8" s="8" t="s">
        <v>280</v>
      </c>
      <c r="D8" s="8" t="s">
        <v>281</v>
      </c>
    </row>
    <row r="9" customFormat="false" ht="15" hidden="false" customHeight="false" outlineLevel="0" collapsed="false">
      <c r="A9" s="9" t="s">
        <v>282</v>
      </c>
      <c r="B9" s="10" t="s">
        <v>283</v>
      </c>
      <c r="C9" s="10" t="s">
        <v>284</v>
      </c>
      <c r="D9" s="10" t="s">
        <v>285</v>
      </c>
    </row>
    <row r="10" customFormat="false" ht="15" hidden="false" customHeight="false" outlineLevel="0" collapsed="false">
      <c r="A10" s="7" t="s">
        <v>286</v>
      </c>
      <c r="B10" s="8" t="s">
        <v>287</v>
      </c>
      <c r="C10" s="8" t="s">
        <v>288</v>
      </c>
      <c r="D10" s="8" t="s">
        <v>289</v>
      </c>
    </row>
    <row r="11" customFormat="false" ht="28.35" hidden="false" customHeight="false" outlineLevel="0" collapsed="false">
      <c r="A11" s="9" t="s">
        <v>290</v>
      </c>
      <c r="B11" s="10" t="s">
        <v>291</v>
      </c>
      <c r="C11" s="10" t="s">
        <v>292</v>
      </c>
      <c r="D11" s="10" t="s">
        <v>293</v>
      </c>
    </row>
    <row r="12" customFormat="false" ht="15" hidden="false" customHeight="false" outlineLevel="0" collapsed="false">
      <c r="A12" s="7" t="s">
        <v>294</v>
      </c>
      <c r="B12" s="8" t="s">
        <v>295</v>
      </c>
      <c r="C12" s="8" t="s">
        <v>296</v>
      </c>
      <c r="D12" s="8" t="s">
        <v>297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F3B"/>
    <pageSetUpPr fitToPage="tru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0"/>
    <col collapsed="false" customWidth="true" hidden="false" outlineLevel="0" max="3" min="3" style="0" width="26"/>
  </cols>
  <sheetData>
    <row r="1" customFormat="false" ht="19.7" hidden="false" customHeight="false" outlineLevel="0" collapsed="false">
      <c r="A1" s="1" t="s">
        <v>19</v>
      </c>
    </row>
    <row r="3" customFormat="false" ht="15" hidden="false" customHeight="false" outlineLevel="0" collapsed="false">
      <c r="A3" s="6" t="s">
        <v>298</v>
      </c>
      <c r="B3" s="6" t="s">
        <v>299</v>
      </c>
      <c r="C3" s="6" t="s">
        <v>300</v>
      </c>
    </row>
    <row r="4" customFormat="false" ht="15" hidden="false" customHeight="false" outlineLevel="0" collapsed="false">
      <c r="A4" s="7" t="s">
        <v>301</v>
      </c>
      <c r="B4" s="8" t="s">
        <v>302</v>
      </c>
      <c r="C4" s="8" t="s">
        <v>303</v>
      </c>
    </row>
    <row r="5" customFormat="false" ht="15" hidden="false" customHeight="false" outlineLevel="0" collapsed="false">
      <c r="A5" s="9" t="s">
        <v>304</v>
      </c>
      <c r="B5" s="10" t="s">
        <v>305</v>
      </c>
      <c r="C5" s="10" t="s">
        <v>306</v>
      </c>
    </row>
    <row r="6" customFormat="false" ht="28.35" hidden="false" customHeight="false" outlineLevel="0" collapsed="false">
      <c r="A6" s="7" t="s">
        <v>307</v>
      </c>
      <c r="B6" s="8" t="s">
        <v>308</v>
      </c>
      <c r="C6" s="8" t="s">
        <v>309</v>
      </c>
    </row>
    <row r="7" customFormat="false" ht="15" hidden="false" customHeight="false" outlineLevel="0" collapsed="false">
      <c r="A7" s="9" t="s">
        <v>310</v>
      </c>
      <c r="B7" s="10" t="s">
        <v>311</v>
      </c>
      <c r="C7" s="10" t="s">
        <v>312</v>
      </c>
    </row>
    <row r="8" customFormat="false" ht="15" hidden="false" customHeight="false" outlineLevel="0" collapsed="false">
      <c r="A8" s="7" t="s">
        <v>313</v>
      </c>
      <c r="B8" s="8" t="s">
        <v>314</v>
      </c>
      <c r="C8" s="8" t="s">
        <v>315</v>
      </c>
    </row>
    <row r="10" customFormat="false" ht="30" hidden="false" customHeight="true" outlineLevel="0" collapsed="false">
      <c r="A10" s="11" t="s">
        <v>316</v>
      </c>
      <c r="B10" s="11"/>
      <c r="C10" s="11"/>
      <c r="D10" s="11"/>
    </row>
  </sheetData>
  <mergeCells count="1"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F3B"/>
    <pageSetUpPr fitToPage="tru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12"/>
  </cols>
  <sheetData>
    <row r="1" customFormat="false" ht="19.7" hidden="false" customHeight="false" outlineLevel="0" collapsed="false">
      <c r="A1" s="1" t="s">
        <v>317</v>
      </c>
    </row>
    <row r="3" customFormat="false" ht="15" hidden="false" customHeight="false" outlineLevel="0" collapsed="false">
      <c r="A3" s="6" t="s">
        <v>318</v>
      </c>
      <c r="B3" s="6" t="s">
        <v>319</v>
      </c>
      <c r="C3" s="6" t="s">
        <v>260</v>
      </c>
      <c r="D3" s="6" t="s">
        <v>320</v>
      </c>
    </row>
    <row r="4" customFormat="false" ht="15" hidden="false" customHeight="false" outlineLevel="0" collapsed="false">
      <c r="A4" s="7" t="s">
        <v>321</v>
      </c>
      <c r="B4" s="8" t="s">
        <v>223</v>
      </c>
      <c r="C4" s="8" t="s">
        <v>322</v>
      </c>
      <c r="D4" s="8" t="s">
        <v>323</v>
      </c>
    </row>
    <row r="5" customFormat="false" ht="15" hidden="false" customHeight="false" outlineLevel="0" collapsed="false">
      <c r="A5" s="9" t="s">
        <v>324</v>
      </c>
      <c r="B5" s="10" t="s">
        <v>325</v>
      </c>
      <c r="C5" s="10" t="s">
        <v>326</v>
      </c>
      <c r="D5" s="10" t="s">
        <v>90</v>
      </c>
    </row>
    <row r="6" customFormat="false" ht="28.35" hidden="false" customHeight="false" outlineLevel="0" collapsed="false">
      <c r="A6" s="7" t="s">
        <v>327</v>
      </c>
      <c r="B6" s="8" t="s">
        <v>328</v>
      </c>
      <c r="C6" s="8" t="s">
        <v>329</v>
      </c>
      <c r="D6" s="8" t="s">
        <v>330</v>
      </c>
    </row>
    <row r="7" customFormat="false" ht="15" hidden="false" customHeight="false" outlineLevel="0" collapsed="false">
      <c r="A7" s="9" t="s">
        <v>331</v>
      </c>
      <c r="B7" s="10" t="s">
        <v>332</v>
      </c>
      <c r="C7" s="10" t="s">
        <v>333</v>
      </c>
      <c r="D7" s="10" t="s">
        <v>53</v>
      </c>
    </row>
    <row r="8" customFormat="false" ht="28.35" hidden="false" customHeight="false" outlineLevel="0" collapsed="false">
      <c r="A8" s="7" t="s">
        <v>334</v>
      </c>
      <c r="B8" s="8" t="s">
        <v>335</v>
      </c>
      <c r="C8" s="8" t="s">
        <v>336</v>
      </c>
      <c r="D8" s="8" t="s">
        <v>323</v>
      </c>
    </row>
    <row r="9" customFormat="false" ht="15" hidden="false" customHeight="false" outlineLevel="0" collapsed="false">
      <c r="A9" s="9" t="s">
        <v>337</v>
      </c>
      <c r="B9" s="10" t="s">
        <v>338</v>
      </c>
      <c r="C9" s="10" t="s">
        <v>339</v>
      </c>
      <c r="D9" s="10" t="s">
        <v>340</v>
      </c>
    </row>
    <row r="10" customFormat="false" ht="15" hidden="false" customHeight="false" outlineLevel="0" collapsed="false">
      <c r="A10" s="7" t="s">
        <v>341</v>
      </c>
      <c r="B10" s="8" t="s">
        <v>342</v>
      </c>
      <c r="C10" s="8" t="s">
        <v>343</v>
      </c>
      <c r="D10" s="8" t="s">
        <v>344</v>
      </c>
    </row>
    <row r="11" customFormat="false" ht="15" hidden="false" customHeight="false" outlineLevel="0" collapsed="false">
      <c r="A11" s="9" t="s">
        <v>345</v>
      </c>
      <c r="B11" s="10" t="s">
        <v>346</v>
      </c>
      <c r="C11" s="10" t="s">
        <v>347</v>
      </c>
      <c r="D11" s="10" t="s">
        <v>344</v>
      </c>
    </row>
    <row r="13" customFormat="false" ht="30" hidden="false" customHeight="true" outlineLevel="0" collapsed="false">
      <c r="A13" s="11" t="s">
        <v>348</v>
      </c>
      <c r="B13" s="11"/>
      <c r="C13" s="11"/>
      <c r="D13" s="11"/>
    </row>
  </sheetData>
  <mergeCells count="1">
    <mergeCell ref="A13:D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F3B"/>
    <pageSetUpPr fitToPage="tru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26"/>
    <col collapsed="false" customWidth="true" hidden="false" outlineLevel="0" max="5" min="4" style="0" width="12"/>
    <col collapsed="false" customWidth="true" hidden="false" outlineLevel="0" max="6" min="6" style="0" width="32"/>
  </cols>
  <sheetData>
    <row r="1" customFormat="false" ht="19.7" hidden="false" customHeight="false" outlineLevel="0" collapsed="false">
      <c r="A1" s="1" t="s">
        <v>349</v>
      </c>
    </row>
    <row r="2" customFormat="false" ht="15" hidden="false" customHeight="false" outlineLevel="0" collapsed="false">
      <c r="A2" s="2" t="s">
        <v>350</v>
      </c>
    </row>
    <row r="4" customFormat="false" ht="28.35" hidden="false" customHeight="false" outlineLevel="0" collapsed="false">
      <c r="A4" s="6" t="s">
        <v>351</v>
      </c>
      <c r="B4" s="6" t="s">
        <v>257</v>
      </c>
      <c r="C4" s="6" t="s">
        <v>352</v>
      </c>
      <c r="D4" s="6" t="s">
        <v>353</v>
      </c>
      <c r="E4" s="6" t="s">
        <v>354</v>
      </c>
      <c r="F4" s="6" t="s">
        <v>355</v>
      </c>
    </row>
    <row r="5" customFormat="false" ht="15" hidden="false" customHeight="false" outlineLevel="0" collapsed="false">
      <c r="A5" s="7" t="s">
        <v>356</v>
      </c>
      <c r="B5" s="14" t="n">
        <v>900</v>
      </c>
      <c r="C5" s="8"/>
      <c r="D5" s="14"/>
      <c r="E5" s="17" t="n">
        <f aca="false">IFERROR(D5/B5,"")</f>
        <v>0</v>
      </c>
      <c r="F5" s="8" t="s">
        <v>357</v>
      </c>
    </row>
    <row r="6" customFormat="false" ht="15" hidden="false" customHeight="false" outlineLevel="0" collapsed="false">
      <c r="A6" s="9" t="s">
        <v>64</v>
      </c>
      <c r="B6" s="14" t="n">
        <v>300</v>
      </c>
      <c r="C6" s="18" t="n">
        <f aca="false">IFERROR(B6/B5,0)</f>
        <v>0.333333333333333</v>
      </c>
      <c r="D6" s="14"/>
      <c r="E6" s="18" t="n">
        <f aca="false">IFERROR(D6/B6,"")</f>
        <v>0</v>
      </c>
      <c r="F6" s="10" t="s">
        <v>358</v>
      </c>
    </row>
    <row r="7" customFormat="false" ht="15" hidden="false" customHeight="false" outlineLevel="0" collapsed="false">
      <c r="A7" s="7" t="s">
        <v>359</v>
      </c>
      <c r="B7" s="14" t="n">
        <v>40</v>
      </c>
      <c r="C7" s="17" t="n">
        <f aca="false">IFERROR(B7/B6,0)</f>
        <v>0.133333333333333</v>
      </c>
      <c r="D7" s="14"/>
      <c r="E7" s="17" t="n">
        <f aca="false">IFERROR(D7/B7,"")</f>
        <v>0</v>
      </c>
      <c r="F7" s="8" t="s">
        <v>360</v>
      </c>
    </row>
    <row r="8" customFormat="false" ht="15" hidden="false" customHeight="false" outlineLevel="0" collapsed="false">
      <c r="A8" s="9" t="s">
        <v>361</v>
      </c>
      <c r="B8" s="14" t="n">
        <v>12</v>
      </c>
      <c r="C8" s="18" t="n">
        <f aca="false">IFERROR(B8/B7,0)</f>
        <v>0.3</v>
      </c>
      <c r="D8" s="14"/>
      <c r="E8" s="18" t="n">
        <f aca="false">IFERROR(D8/B8,"")</f>
        <v>0</v>
      </c>
      <c r="F8" s="10" t="s">
        <v>362</v>
      </c>
    </row>
    <row r="9" customFormat="false" ht="15" hidden="false" customHeight="false" outlineLevel="0" collapsed="false">
      <c r="A9" s="7" t="s">
        <v>363</v>
      </c>
      <c r="B9" s="14" t="n">
        <v>2</v>
      </c>
      <c r="C9" s="17" t="n">
        <f aca="false">IFERROR(B9/B8,0)</f>
        <v>0.166666666666667</v>
      </c>
      <c r="D9" s="14"/>
      <c r="E9" s="17" t="n">
        <f aca="false">IFERROR(D9/B9,"")</f>
        <v>0</v>
      </c>
      <c r="F9" s="8" t="s">
        <v>364</v>
      </c>
    </row>
    <row r="11" customFormat="false" ht="15" hidden="false" customHeight="false" outlineLevel="0" collapsed="false">
      <c r="A11" s="15" t="s">
        <v>365</v>
      </c>
      <c r="B11" s="19" t="n">
        <v>30</v>
      </c>
      <c r="C11" s="20" t="n">
        <f aca="false">IFERROR(B11/B6,0)</f>
        <v>0.1</v>
      </c>
      <c r="D11" s="19"/>
      <c r="E11" s="20" t="n">
        <f aca="false">IFERROR(D11/B11,"")</f>
        <v>0</v>
      </c>
      <c r="F11" s="16" t="s">
        <v>366</v>
      </c>
    </row>
    <row r="13" customFormat="false" ht="15" hidden="false" customHeight="false" outlineLevel="0" collapsed="false">
      <c r="A13" s="15" t="s">
        <v>367</v>
      </c>
      <c r="B13" s="21" t="n">
        <f aca="false">Presupuesto!B13/B6</f>
        <v>166.666666666667</v>
      </c>
    </row>
    <row r="14" customFormat="false" ht="15" hidden="false" customHeight="false" outlineLevel="0" collapsed="false">
      <c r="A14" s="15" t="s">
        <v>368</v>
      </c>
      <c r="B14" s="21" t="n">
        <f aca="false">Presupuesto!B13/B9</f>
        <v>25000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4"/>
    <col collapsed="false" customWidth="true" hidden="false" outlineLevel="0" max="5" min="5" style="0" width="12"/>
    <col collapsed="false" customWidth="true" hidden="false" outlineLevel="0" max="17" min="6" style="0" width="13"/>
  </cols>
  <sheetData>
    <row r="1" customFormat="false" ht="19.7" hidden="false" customHeight="false" outlineLevel="0" collapsed="false">
      <c r="A1" s="1" t="s">
        <v>369</v>
      </c>
    </row>
    <row r="2" customFormat="false" ht="15" hidden="false" customHeight="false" outlineLevel="0" collapsed="false">
      <c r="A2" s="2" t="s">
        <v>370</v>
      </c>
    </row>
    <row r="4" customFormat="false" ht="15" hidden="false" customHeight="false" outlineLevel="0" collapsed="false">
      <c r="A4" s="6" t="s">
        <v>371</v>
      </c>
      <c r="B4" s="6" t="s">
        <v>49</v>
      </c>
      <c r="C4" s="6" t="s">
        <v>50</v>
      </c>
      <c r="D4" s="6" t="s">
        <v>51</v>
      </c>
      <c r="E4" s="6" t="s">
        <v>372</v>
      </c>
    </row>
    <row r="5" customFormat="false" ht="15" hidden="false" customHeight="false" outlineLevel="0" collapsed="false">
      <c r="A5" s="7" t="s">
        <v>373</v>
      </c>
      <c r="B5" s="22" t="n">
        <v>6000</v>
      </c>
      <c r="C5" s="22" t="n">
        <v>3000</v>
      </c>
      <c r="D5" s="22" t="n">
        <v>4000</v>
      </c>
      <c r="E5" s="17" t="n">
        <f aca="false">IFERROR(B5/B$13,0)</f>
        <v>0.12</v>
      </c>
    </row>
    <row r="6" customFormat="false" ht="15" hidden="false" customHeight="false" outlineLevel="0" collapsed="false">
      <c r="A6" s="9" t="s">
        <v>374</v>
      </c>
      <c r="B6" s="22" t="n">
        <v>5000</v>
      </c>
      <c r="C6" s="22" t="n">
        <v>6000</v>
      </c>
      <c r="D6" s="22" t="n">
        <v>6000</v>
      </c>
      <c r="E6" s="18" t="n">
        <f aca="false">IFERROR(B6/B$13,0)</f>
        <v>0.1</v>
      </c>
    </row>
    <row r="7" customFormat="false" ht="15" hidden="false" customHeight="false" outlineLevel="0" collapsed="false">
      <c r="A7" s="7" t="s">
        <v>375</v>
      </c>
      <c r="B7" s="22" t="n">
        <v>6000</v>
      </c>
      <c r="C7" s="22" t="n">
        <v>7000</v>
      </c>
      <c r="D7" s="22" t="n">
        <v>8000</v>
      </c>
      <c r="E7" s="17" t="n">
        <f aca="false">IFERROR(B7/B$13,0)</f>
        <v>0.12</v>
      </c>
    </row>
    <row r="8" customFormat="false" ht="15" hidden="false" customHeight="false" outlineLevel="0" collapsed="false">
      <c r="A8" s="9" t="s">
        <v>376</v>
      </c>
      <c r="B8" s="22" t="n">
        <v>18000</v>
      </c>
      <c r="C8" s="22" t="n">
        <v>25000</v>
      </c>
      <c r="D8" s="22" t="n">
        <v>32000</v>
      </c>
      <c r="E8" s="18" t="n">
        <f aca="false">IFERROR(B8/B$13,0)</f>
        <v>0.36</v>
      </c>
    </row>
    <row r="9" customFormat="false" ht="15" hidden="false" customHeight="false" outlineLevel="0" collapsed="false">
      <c r="A9" s="7" t="s">
        <v>377</v>
      </c>
      <c r="B9" s="22" t="n">
        <v>6000</v>
      </c>
      <c r="C9" s="22" t="n">
        <v>8000</v>
      </c>
      <c r="D9" s="22" t="n">
        <v>8000</v>
      </c>
      <c r="E9" s="17" t="n">
        <f aca="false">IFERROR(B9/B$13,0)</f>
        <v>0.12</v>
      </c>
    </row>
    <row r="10" customFormat="false" ht="15" hidden="false" customHeight="false" outlineLevel="0" collapsed="false">
      <c r="A10" s="9" t="s">
        <v>378</v>
      </c>
      <c r="B10" s="22" t="n">
        <v>5000</v>
      </c>
      <c r="C10" s="22" t="n">
        <v>9000</v>
      </c>
      <c r="D10" s="22" t="n">
        <v>12000</v>
      </c>
      <c r="E10" s="18" t="n">
        <f aca="false">IFERROR(B10/B$13,0)</f>
        <v>0.1</v>
      </c>
    </row>
    <row r="11" customFormat="false" ht="15" hidden="false" customHeight="false" outlineLevel="0" collapsed="false">
      <c r="A11" s="7" t="s">
        <v>379</v>
      </c>
      <c r="B11" s="22" t="n">
        <v>1500</v>
      </c>
      <c r="C11" s="22" t="n">
        <v>2000</v>
      </c>
      <c r="D11" s="22" t="n">
        <v>3000</v>
      </c>
      <c r="E11" s="17" t="n">
        <f aca="false">IFERROR(B11/B$13,0)</f>
        <v>0.03</v>
      </c>
    </row>
    <row r="12" customFormat="false" ht="15" hidden="false" customHeight="false" outlineLevel="0" collapsed="false">
      <c r="A12" s="9" t="s">
        <v>380</v>
      </c>
      <c r="B12" s="22" t="n">
        <v>2500</v>
      </c>
      <c r="C12" s="22" t="n">
        <v>5000</v>
      </c>
      <c r="D12" s="22" t="n">
        <v>7000</v>
      </c>
      <c r="E12" s="18" t="n">
        <f aca="false">IFERROR(B12/B$13,0)</f>
        <v>0.05</v>
      </c>
    </row>
    <row r="13" customFormat="false" ht="15" hidden="false" customHeight="false" outlineLevel="0" collapsed="false">
      <c r="A13" s="15" t="s">
        <v>381</v>
      </c>
      <c r="B13" s="23" t="n">
        <f aca="false">SUM(B5:B12)</f>
        <v>50000</v>
      </c>
      <c r="C13" s="23" t="n">
        <f aca="false">SUM(C5:C12)</f>
        <v>65000</v>
      </c>
      <c r="D13" s="23" t="n">
        <f aca="false">SUM(D5:D12)</f>
        <v>80000</v>
      </c>
    </row>
    <row r="15" customFormat="false" ht="15" hidden="false" customHeight="false" outlineLevel="0" collapsed="false">
      <c r="A15" s="0" t="s">
        <v>382</v>
      </c>
      <c r="B15" s="24" t="n">
        <v>20000</v>
      </c>
    </row>
    <row r="16" customFormat="false" ht="15" hidden="false" customHeight="false" outlineLevel="0" collapsed="false">
      <c r="A16" s="0" t="s">
        <v>383</v>
      </c>
      <c r="C16" s="25" t="n">
        <v>0.04</v>
      </c>
    </row>
    <row r="17" customFormat="false" ht="15" hidden="false" customHeight="false" outlineLevel="0" collapsed="false">
      <c r="A17" s="0" t="s">
        <v>384</v>
      </c>
      <c r="B17" s="24" t="n">
        <v>0</v>
      </c>
    </row>
    <row r="18" customFormat="false" ht="15" hidden="false" customHeight="false" outlineLevel="0" collapsed="false">
      <c r="A18" s="0" t="s">
        <v>385</v>
      </c>
      <c r="B18" s="21" t="n">
        <f aca="false">B17*C16</f>
        <v>0</v>
      </c>
    </row>
    <row r="19" customFormat="false" ht="15" hidden="false" customHeight="false" outlineLevel="0" collapsed="false">
      <c r="A19" s="15" t="s">
        <v>386</v>
      </c>
      <c r="B19" s="26" t="n">
        <f aca="false">MAX(0,B13-B15-B18)</f>
        <v>30000</v>
      </c>
    </row>
    <row r="21" customFormat="false" ht="15" hidden="false" customHeight="false" outlineLevel="0" collapsed="false">
      <c r="A21" s="4" t="s">
        <v>387</v>
      </c>
    </row>
    <row r="22" customFormat="false" ht="15" hidden="false" customHeight="false" outlineLevel="0" collapsed="false">
      <c r="B22" s="15" t="s">
        <v>388</v>
      </c>
      <c r="C22" s="15" t="s">
        <v>389</v>
      </c>
      <c r="D22" s="15" t="s">
        <v>390</v>
      </c>
      <c r="E22" s="15" t="s">
        <v>391</v>
      </c>
      <c r="F22" s="15" t="s">
        <v>392</v>
      </c>
      <c r="G22" s="15" t="s">
        <v>393</v>
      </c>
      <c r="H22" s="15" t="s">
        <v>394</v>
      </c>
      <c r="I22" s="15" t="s">
        <v>395</v>
      </c>
      <c r="J22" s="15" t="s">
        <v>396</v>
      </c>
      <c r="K22" s="15" t="s">
        <v>397</v>
      </c>
      <c r="L22" s="15" t="s">
        <v>398</v>
      </c>
      <c r="M22" s="15" t="s">
        <v>399</v>
      </c>
    </row>
    <row r="23" customFormat="false" ht="15" hidden="false" customHeight="false" outlineLevel="0" collapsed="false">
      <c r="A23" s="0" t="s">
        <v>400</v>
      </c>
      <c r="B23" s="27" t="n">
        <f aca="false">$B$13*6/100</f>
        <v>3000</v>
      </c>
      <c r="C23" s="27" t="n">
        <f aca="false">$B$13*8/100</f>
        <v>4000</v>
      </c>
      <c r="D23" s="27" t="n">
        <f aca="false">$B$13*9/100</f>
        <v>4500</v>
      </c>
      <c r="E23" s="27" t="n">
        <f aca="false">$B$13*7/100</f>
        <v>3500</v>
      </c>
      <c r="F23" s="27" t="n">
        <f aca="false">$B$13*9/100</f>
        <v>4500</v>
      </c>
      <c r="G23" s="27" t="n">
        <f aca="false">$B$13*10/100</f>
        <v>5000</v>
      </c>
      <c r="H23" s="27" t="n">
        <f aca="false">$B$13*8/100</f>
        <v>4000</v>
      </c>
      <c r="I23" s="27" t="n">
        <f aca="false">$B$13*12/100</f>
        <v>6000</v>
      </c>
      <c r="J23" s="27" t="n">
        <f aca="false">$B$13*9/100</f>
        <v>4500</v>
      </c>
      <c r="K23" s="27" t="n">
        <f aca="false">$B$13*7/100</f>
        <v>3500</v>
      </c>
      <c r="L23" s="27" t="n">
        <f aca="false">$B$13*8/100</f>
        <v>4000</v>
      </c>
      <c r="M23" s="27" t="n">
        <f aca="false">$B$13*7/100</f>
        <v>3500</v>
      </c>
    </row>
    <row r="24" customFormat="false" ht="15" hidden="false" customHeight="false" outlineLevel="0" collapsed="false">
      <c r="A24" s="0" t="s">
        <v>401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F3B"/>
    <pageSetUpPr fitToPage="true"/>
  </sheetPr>
  <dimension ref="A1:P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1"/>
    <col collapsed="false" customWidth="true" hidden="false" outlineLevel="0" max="16" min="3" style="0" width="9"/>
  </cols>
  <sheetData>
    <row r="1" customFormat="false" ht="19.7" hidden="false" customHeight="false" outlineLevel="0" collapsed="false">
      <c r="A1" s="1" t="s">
        <v>402</v>
      </c>
    </row>
    <row r="2" customFormat="false" ht="15" hidden="false" customHeight="false" outlineLevel="0" collapsed="false">
      <c r="A2" s="2" t="s">
        <v>403</v>
      </c>
    </row>
    <row r="4" customFormat="false" ht="15" hidden="false" customHeight="false" outlineLevel="0" collapsed="false">
      <c r="A4" s="29" t="s">
        <v>48</v>
      </c>
      <c r="B4" s="29" t="s">
        <v>404</v>
      </c>
      <c r="C4" s="29" t="s">
        <v>405</v>
      </c>
      <c r="D4" s="29" t="s">
        <v>406</v>
      </c>
      <c r="E4" s="29" t="s">
        <v>407</v>
      </c>
      <c r="F4" s="29" t="s">
        <v>408</v>
      </c>
      <c r="G4" s="29" t="s">
        <v>409</v>
      </c>
      <c r="H4" s="29" t="s">
        <v>410</v>
      </c>
      <c r="I4" s="29" t="s">
        <v>411</v>
      </c>
      <c r="J4" s="29" t="s">
        <v>412</v>
      </c>
      <c r="K4" s="29" t="s">
        <v>413</v>
      </c>
      <c r="L4" s="29" t="s">
        <v>414</v>
      </c>
      <c r="M4" s="29" t="s">
        <v>415</v>
      </c>
      <c r="N4" s="29" t="s">
        <v>416</v>
      </c>
      <c r="O4" s="29" t="s">
        <v>417</v>
      </c>
      <c r="P4" s="29" t="s">
        <v>418</v>
      </c>
    </row>
    <row r="5" customFormat="false" ht="15" hidden="false" customHeight="false" outlineLevel="0" collapsed="false">
      <c r="A5" s="15" t="s">
        <v>419</v>
      </c>
      <c r="B5" s="0" t="n">
        <v>75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16" t="n">
        <f aca="false">SUM(C5:N5)</f>
        <v>0</v>
      </c>
      <c r="P5" s="16" t="n">
        <f aca="false">ROUND(B5*12,0)</f>
        <v>900</v>
      </c>
    </row>
    <row r="6" customFormat="false" ht="15" hidden="false" customHeight="false" outlineLevel="0" collapsed="false">
      <c r="A6" s="15" t="s">
        <v>64</v>
      </c>
      <c r="B6" s="0" t="n">
        <v>25</v>
      </c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16" t="n">
        <f aca="false">SUM(C6:N6)</f>
        <v>0</v>
      </c>
      <c r="P6" s="16" t="n">
        <f aca="false">ROUND(B6*12,0)</f>
        <v>300</v>
      </c>
    </row>
    <row r="7" customFormat="false" ht="15" hidden="false" customHeight="false" outlineLevel="0" collapsed="false">
      <c r="A7" s="15" t="s">
        <v>420</v>
      </c>
      <c r="B7" s="0" t="n">
        <v>3.3</v>
      </c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16" t="n">
        <f aca="false">SUM(C7:N7)</f>
        <v>0</v>
      </c>
      <c r="P7" s="16" t="n">
        <f aca="false">ROUND(B7*12,0)</f>
        <v>40</v>
      </c>
    </row>
    <row r="8" customFormat="false" ht="15" hidden="false" customHeight="false" outlineLevel="0" collapsed="false">
      <c r="A8" s="15" t="s">
        <v>421</v>
      </c>
      <c r="B8" s="0" t="n">
        <v>1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16" t="n">
        <f aca="false">SUM(C8:N8)</f>
        <v>0</v>
      </c>
      <c r="P8" s="16" t="n">
        <f aca="false">ROUND(B8*12,0)</f>
        <v>12</v>
      </c>
    </row>
    <row r="9" customFormat="false" ht="15" hidden="false" customHeight="false" outlineLevel="0" collapsed="false">
      <c r="A9" s="15" t="s">
        <v>422</v>
      </c>
      <c r="B9" s="0" t="n">
        <v>0.17</v>
      </c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16" t="n">
        <f aca="false">SUM(C9:N9)</f>
        <v>0</v>
      </c>
      <c r="P9" s="16" t="n">
        <f aca="false">ROUND(B9*12,0)</f>
        <v>2</v>
      </c>
    </row>
    <row r="10" customFormat="false" ht="15" hidden="false" customHeight="false" outlineLevel="0" collapsed="false">
      <c r="A10" s="15" t="s">
        <v>423</v>
      </c>
      <c r="B10" s="0" t="n">
        <v>2.5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16" t="n">
        <f aca="false">SUM(C10:N10)</f>
        <v>0</v>
      </c>
      <c r="P10" s="16" t="n">
        <f aca="false">ROUND(B10*12,0)</f>
        <v>30</v>
      </c>
    </row>
    <row r="11" customFormat="false" ht="15" hidden="false" customHeight="false" outlineLevel="0" collapsed="false">
      <c r="A11" s="15" t="s">
        <v>424</v>
      </c>
      <c r="B11" s="16" t="s">
        <v>425</v>
      </c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</row>
    <row r="12" customFormat="false" ht="15" hidden="false" customHeight="false" outlineLevel="0" collapsed="false">
      <c r="A12" s="15" t="s">
        <v>426</v>
      </c>
      <c r="B12" s="0" t="n">
        <v>150</v>
      </c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16" t="n">
        <f aca="false">SUM(C12:N12)</f>
        <v>0</v>
      </c>
      <c r="P12" s="16" t="n">
        <f aca="false">ROUND(B12*12,0)</f>
        <v>1800</v>
      </c>
    </row>
    <row r="13" customFormat="false" ht="15" hidden="false" customHeight="false" outlineLevel="0" collapsed="false">
      <c r="A13" s="15" t="s">
        <v>427</v>
      </c>
      <c r="B13" s="0" t="n">
        <v>600</v>
      </c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16" t="n">
        <f aca="false">SUM(C13:N13)</f>
        <v>0</v>
      </c>
      <c r="P13" s="16" t="n">
        <f aca="false">ROUND(B13*12,0)</f>
        <v>7200</v>
      </c>
    </row>
    <row r="14" customFormat="false" ht="15" hidden="false" customHeight="false" outlineLevel="0" collapsed="false">
      <c r="A14" s="15" t="s">
        <v>428</v>
      </c>
      <c r="B14" s="0" t="n">
        <v>60</v>
      </c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16" t="n">
        <f aca="false">SUM(C14:N14)</f>
        <v>0</v>
      </c>
      <c r="P14" s="16" t="n">
        <f aca="false">ROUND(B14*12,0)</f>
        <v>720</v>
      </c>
    </row>
    <row r="15" customFormat="false" ht="15" hidden="false" customHeight="false" outlineLevel="0" collapsed="false">
      <c r="A15" s="15" t="s">
        <v>429</v>
      </c>
      <c r="B15" s="16" t="s">
        <v>425</v>
      </c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</row>
    <row r="16" customFormat="false" ht="15" hidden="false" customHeight="false" outlineLevel="0" collapsed="false">
      <c r="A16" s="15" t="s">
        <v>430</v>
      </c>
      <c r="B16" s="16" t="s">
        <v>425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40" min="5" style="0" width="3.61"/>
  </cols>
  <sheetData>
    <row r="1" customFormat="false" ht="19.7" hidden="false" customHeight="false" outlineLevel="0" collapsed="false">
      <c r="A1" s="1" t="s">
        <v>431</v>
      </c>
    </row>
    <row r="2" customFormat="false" ht="15" hidden="false" customHeight="false" outlineLevel="0" collapsed="false">
      <c r="A2" s="2" t="s">
        <v>432</v>
      </c>
    </row>
    <row r="3" customFormat="false" ht="15" hidden="false" customHeight="false" outlineLevel="0" collapsed="false">
      <c r="E3" s="31" t="s">
        <v>49</v>
      </c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 t="s">
        <v>50</v>
      </c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 t="s">
        <v>51</v>
      </c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</row>
    <row r="4" customFormat="false" ht="15" hidden="false" customHeight="false" outlineLevel="0" collapsed="false">
      <c r="A4" s="32" t="s">
        <v>169</v>
      </c>
      <c r="B4" s="32" t="s">
        <v>433</v>
      </c>
      <c r="C4" s="32" t="s">
        <v>434</v>
      </c>
      <c r="D4" s="32" t="s">
        <v>435</v>
      </c>
      <c r="E4" s="32" t="s">
        <v>90</v>
      </c>
      <c r="F4" s="32" t="s">
        <v>53</v>
      </c>
      <c r="G4" s="32" t="s">
        <v>344</v>
      </c>
      <c r="H4" s="32" t="s">
        <v>436</v>
      </c>
      <c r="I4" s="32" t="s">
        <v>437</v>
      </c>
      <c r="J4" s="32" t="s">
        <v>438</v>
      </c>
      <c r="K4" s="32" t="s">
        <v>54</v>
      </c>
      <c r="L4" s="32" t="s">
        <v>439</v>
      </c>
      <c r="M4" s="32" t="s">
        <v>440</v>
      </c>
      <c r="N4" s="32" t="s">
        <v>441</v>
      </c>
      <c r="O4" s="32" t="s">
        <v>442</v>
      </c>
      <c r="P4" s="32" t="s">
        <v>443</v>
      </c>
      <c r="Q4" s="32" t="s">
        <v>444</v>
      </c>
      <c r="R4" s="32" t="s">
        <v>445</v>
      </c>
      <c r="S4" s="32" t="s">
        <v>55</v>
      </c>
      <c r="T4" s="32" t="s">
        <v>446</v>
      </c>
      <c r="U4" s="32" t="s">
        <v>447</v>
      </c>
      <c r="V4" s="32" t="s">
        <v>448</v>
      </c>
      <c r="W4" s="32" t="s">
        <v>449</v>
      </c>
      <c r="X4" s="32" t="s">
        <v>450</v>
      </c>
      <c r="Y4" s="32" t="s">
        <v>451</v>
      </c>
      <c r="Z4" s="32" t="s">
        <v>452</v>
      </c>
      <c r="AA4" s="32" t="s">
        <v>453</v>
      </c>
      <c r="AB4" s="32" t="s">
        <v>454</v>
      </c>
      <c r="AC4" s="32" t="s">
        <v>455</v>
      </c>
      <c r="AD4" s="32" t="s">
        <v>456</v>
      </c>
      <c r="AE4" s="32" t="s">
        <v>457</v>
      </c>
      <c r="AF4" s="32" t="s">
        <v>458</v>
      </c>
      <c r="AG4" s="32" t="s">
        <v>459</v>
      </c>
      <c r="AH4" s="32" t="s">
        <v>57</v>
      </c>
      <c r="AI4" s="32" t="s">
        <v>460</v>
      </c>
      <c r="AJ4" s="32" t="s">
        <v>461</v>
      </c>
      <c r="AK4" s="32" t="s">
        <v>462</v>
      </c>
      <c r="AL4" s="32" t="s">
        <v>463</v>
      </c>
      <c r="AM4" s="32" t="s">
        <v>464</v>
      </c>
      <c r="AN4" s="32" t="s">
        <v>465</v>
      </c>
    </row>
    <row r="5" customFormat="false" ht="15" hidden="false" customHeight="false" outlineLevel="0" collapsed="false">
      <c r="A5" s="0" t="s">
        <v>173</v>
      </c>
      <c r="B5" s="0" t="s">
        <v>466</v>
      </c>
      <c r="C5" s="19" t="n">
        <v>1</v>
      </c>
      <c r="D5" s="19" t="n">
        <v>3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</row>
    <row r="6" customFormat="false" ht="15" hidden="false" customHeight="false" outlineLevel="0" collapsed="false">
      <c r="A6" s="0" t="s">
        <v>173</v>
      </c>
      <c r="B6" s="0" t="s">
        <v>467</v>
      </c>
      <c r="C6" s="19" t="n">
        <v>1</v>
      </c>
      <c r="D6" s="19" t="n">
        <v>2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</row>
    <row r="7" customFormat="false" ht="15" hidden="false" customHeight="false" outlineLevel="0" collapsed="false">
      <c r="A7" s="0" t="s">
        <v>177</v>
      </c>
      <c r="B7" s="0" t="s">
        <v>468</v>
      </c>
      <c r="C7" s="19" t="n">
        <v>2</v>
      </c>
      <c r="D7" s="19" t="n">
        <v>6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</row>
    <row r="8" customFormat="false" ht="15" hidden="false" customHeight="false" outlineLevel="0" collapsed="false">
      <c r="A8" s="0" t="s">
        <v>177</v>
      </c>
      <c r="B8" s="0" t="s">
        <v>469</v>
      </c>
      <c r="C8" s="19" t="n">
        <v>4</v>
      </c>
      <c r="D8" s="19" t="n">
        <v>4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</row>
    <row r="9" customFormat="false" ht="15" hidden="false" customHeight="false" outlineLevel="0" collapsed="false">
      <c r="A9" s="0" t="s">
        <v>177</v>
      </c>
      <c r="B9" s="0" t="s">
        <v>470</v>
      </c>
      <c r="C9" s="19" t="n">
        <v>4</v>
      </c>
      <c r="D9" s="19" t="n">
        <v>12</v>
      </c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</row>
    <row r="10" customFormat="false" ht="15" hidden="false" customHeight="false" outlineLevel="0" collapsed="false">
      <c r="A10" s="0" t="s">
        <v>177</v>
      </c>
      <c r="B10" s="0" t="s">
        <v>471</v>
      </c>
      <c r="C10" s="19" t="n">
        <v>4</v>
      </c>
      <c r="D10" s="19" t="n">
        <v>6</v>
      </c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</row>
    <row r="11" customFormat="false" ht="15" hidden="false" customHeight="false" outlineLevel="0" collapsed="false">
      <c r="A11" s="0" t="s">
        <v>177</v>
      </c>
      <c r="B11" s="0" t="s">
        <v>321</v>
      </c>
      <c r="C11" s="19" t="n">
        <v>8</v>
      </c>
      <c r="D11" s="19" t="n">
        <v>8</v>
      </c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</row>
    <row r="12" customFormat="false" ht="15" hidden="false" customHeight="false" outlineLevel="0" collapsed="false">
      <c r="A12" s="0" t="s">
        <v>177</v>
      </c>
      <c r="B12" s="0" t="s">
        <v>472</v>
      </c>
      <c r="C12" s="19" t="n">
        <v>5</v>
      </c>
      <c r="D12" s="19" t="n">
        <v>12</v>
      </c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</row>
    <row r="13" customFormat="false" ht="15" hidden="false" customHeight="false" outlineLevel="0" collapsed="false">
      <c r="A13" s="0" t="s">
        <v>181</v>
      </c>
      <c r="B13" s="0" t="s">
        <v>473</v>
      </c>
      <c r="C13" s="19" t="n">
        <v>5</v>
      </c>
      <c r="D13" s="19" t="n">
        <v>36</v>
      </c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</row>
    <row r="14" customFormat="false" ht="15" hidden="false" customHeight="false" outlineLevel="0" collapsed="false">
      <c r="A14" s="0" t="s">
        <v>181</v>
      </c>
      <c r="B14" s="0" t="s">
        <v>474</v>
      </c>
      <c r="C14" s="19" t="n">
        <v>8</v>
      </c>
      <c r="D14" s="19" t="n">
        <v>9</v>
      </c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</row>
    <row r="15" customFormat="false" ht="15" hidden="false" customHeight="false" outlineLevel="0" collapsed="false">
      <c r="A15" s="0" t="s">
        <v>181</v>
      </c>
      <c r="B15" s="0" t="s">
        <v>475</v>
      </c>
      <c r="C15" s="19" t="n">
        <v>11</v>
      </c>
      <c r="D15" s="19" t="n">
        <v>12</v>
      </c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</row>
    <row r="16" customFormat="false" ht="15" hidden="false" customHeight="false" outlineLevel="0" collapsed="false">
      <c r="A16" s="0" t="s">
        <v>181</v>
      </c>
      <c r="B16" s="0" t="s">
        <v>476</v>
      </c>
      <c r="C16" s="19" t="n">
        <v>14</v>
      </c>
      <c r="D16" s="19" t="n">
        <v>15</v>
      </c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</row>
    <row r="17" customFormat="false" ht="15" hidden="false" customHeight="false" outlineLevel="0" collapsed="false">
      <c r="A17" s="0" t="s">
        <v>181</v>
      </c>
      <c r="B17" s="0" t="s">
        <v>477</v>
      </c>
      <c r="C17" s="19" t="n">
        <v>10</v>
      </c>
      <c r="D17" s="19" t="n">
        <v>36</v>
      </c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</row>
    <row r="18" customFormat="false" ht="15" hidden="false" customHeight="false" outlineLevel="0" collapsed="false">
      <c r="A18" s="0" t="s">
        <v>181</v>
      </c>
      <c r="B18" s="0" t="s">
        <v>478</v>
      </c>
      <c r="C18" s="19" t="n">
        <v>12</v>
      </c>
      <c r="D18" s="19" t="n">
        <v>36</v>
      </c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</row>
    <row r="19" customFormat="false" ht="15" hidden="false" customHeight="false" outlineLevel="0" collapsed="false">
      <c r="A19" s="0" t="s">
        <v>181</v>
      </c>
      <c r="B19" s="0" t="s">
        <v>479</v>
      </c>
      <c r="C19" s="19" t="n">
        <v>12</v>
      </c>
      <c r="D19" s="19" t="n">
        <v>12</v>
      </c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</row>
    <row r="20" customFormat="false" ht="15" hidden="false" customHeight="false" outlineLevel="0" collapsed="false">
      <c r="A20" s="0" t="s">
        <v>185</v>
      </c>
      <c r="B20" s="0" t="s">
        <v>480</v>
      </c>
      <c r="C20" s="19" t="n">
        <v>13</v>
      </c>
      <c r="D20" s="19" t="n">
        <v>24</v>
      </c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</row>
    <row r="21" customFormat="false" ht="15" hidden="false" customHeight="false" outlineLevel="0" collapsed="false">
      <c r="A21" s="0" t="s">
        <v>185</v>
      </c>
      <c r="B21" s="0" t="s">
        <v>481</v>
      </c>
      <c r="C21" s="19" t="n">
        <v>20</v>
      </c>
      <c r="D21" s="19" t="n">
        <v>20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</row>
    <row r="22" customFormat="false" ht="15" hidden="false" customHeight="false" outlineLevel="0" collapsed="false">
      <c r="A22" s="0" t="s">
        <v>185</v>
      </c>
      <c r="B22" s="0" t="s">
        <v>482</v>
      </c>
      <c r="C22" s="19" t="n">
        <v>18</v>
      </c>
      <c r="D22" s="19" t="n">
        <v>19</v>
      </c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</row>
    <row r="23" customFormat="false" ht="15" hidden="false" customHeight="false" outlineLevel="0" collapsed="false">
      <c r="A23" s="0" t="s">
        <v>185</v>
      </c>
      <c r="B23" s="0" t="s">
        <v>483</v>
      </c>
      <c r="C23" s="19" t="n">
        <v>24</v>
      </c>
      <c r="D23" s="19" t="n">
        <v>24</v>
      </c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</row>
    <row r="24" customFormat="false" ht="15" hidden="false" customHeight="false" outlineLevel="0" collapsed="false">
      <c r="A24" s="0" t="s">
        <v>484</v>
      </c>
      <c r="B24" s="0" t="s">
        <v>485</v>
      </c>
      <c r="C24" s="19" t="n">
        <v>20</v>
      </c>
      <c r="D24" s="19" t="n">
        <v>36</v>
      </c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</row>
    <row r="25" customFormat="false" ht="15" hidden="false" customHeight="false" outlineLevel="0" collapsed="false">
      <c r="A25" s="0" t="s">
        <v>484</v>
      </c>
      <c r="B25" s="0" t="s">
        <v>486</v>
      </c>
      <c r="C25" s="19" t="n">
        <v>22</v>
      </c>
      <c r="D25" s="19" t="n">
        <v>22</v>
      </c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</row>
    <row r="26" customFormat="false" ht="15" hidden="false" customHeight="false" outlineLevel="0" collapsed="false">
      <c r="A26" s="0" t="s">
        <v>484</v>
      </c>
      <c r="B26" s="0" t="s">
        <v>487</v>
      </c>
      <c r="C26" s="19" t="n">
        <v>25</v>
      </c>
      <c r="D26" s="19" t="n">
        <v>36</v>
      </c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</row>
    <row r="27" customFormat="false" ht="15" hidden="false" customHeight="false" outlineLevel="0" collapsed="false">
      <c r="A27" s="0" t="s">
        <v>484</v>
      </c>
      <c r="B27" s="0" t="s">
        <v>488</v>
      </c>
      <c r="C27" s="19" t="n">
        <v>26</v>
      </c>
      <c r="D27" s="19" t="n">
        <v>26</v>
      </c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</row>
    <row r="28" customFormat="false" ht="15" hidden="false" customHeight="false" outlineLevel="0" collapsed="false">
      <c r="A28" s="0" t="s">
        <v>484</v>
      </c>
      <c r="B28" s="0" t="s">
        <v>489</v>
      </c>
      <c r="C28" s="19" t="n">
        <v>28</v>
      </c>
      <c r="D28" s="19" t="n">
        <v>28</v>
      </c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</row>
  </sheetData>
  <mergeCells count="3">
    <mergeCell ref="E3:P3"/>
    <mergeCell ref="Q3:AB3"/>
    <mergeCell ref="AC3:AN3"/>
  </mergeCells>
  <conditionalFormatting sqref="E5:AN28">
    <cfRule type="expression" priority="2" aboveAverage="0" equalAverage="0" bottom="0" percent="0" rank="0" text="" dxfId="0">
      <formula>AND(E$4*1&gt;=$C5,E$4*1&lt;=$D5)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F3B"/>
    <pageSetUpPr fitToPage="tru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50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490</v>
      </c>
    </row>
    <row r="3" customFormat="false" ht="15" hidden="false" customHeight="false" outlineLevel="0" collapsed="false">
      <c r="A3" s="6" t="s">
        <v>491</v>
      </c>
      <c r="B3" s="6" t="s">
        <v>492</v>
      </c>
      <c r="C3" s="6" t="s">
        <v>493</v>
      </c>
      <c r="D3" s="6" t="s">
        <v>494</v>
      </c>
      <c r="E3" s="6" t="s">
        <v>495</v>
      </c>
    </row>
    <row r="4" customFormat="false" ht="28.35" hidden="false" customHeight="false" outlineLevel="0" collapsed="false">
      <c r="A4" s="7" t="s">
        <v>90</v>
      </c>
      <c r="B4" s="8" t="s">
        <v>496</v>
      </c>
      <c r="C4" s="8" t="s">
        <v>497</v>
      </c>
      <c r="D4" s="8" t="s">
        <v>498</v>
      </c>
      <c r="E4" s="8" t="s">
        <v>499</v>
      </c>
    </row>
    <row r="5" customFormat="false" ht="28.35" hidden="false" customHeight="false" outlineLevel="0" collapsed="false">
      <c r="A5" s="9" t="s">
        <v>53</v>
      </c>
      <c r="B5" s="10" t="s">
        <v>51</v>
      </c>
      <c r="C5" s="10" t="s">
        <v>500</v>
      </c>
      <c r="D5" s="10" t="s">
        <v>501</v>
      </c>
      <c r="E5" s="10" t="s">
        <v>502</v>
      </c>
    </row>
    <row r="6" customFormat="false" ht="28.35" hidden="false" customHeight="false" outlineLevel="0" collapsed="false">
      <c r="A6" s="7" t="s">
        <v>344</v>
      </c>
      <c r="B6" s="8" t="s">
        <v>503</v>
      </c>
      <c r="C6" s="8" t="s">
        <v>504</v>
      </c>
      <c r="D6" s="8" t="s">
        <v>505</v>
      </c>
      <c r="E6" s="8" t="s">
        <v>506</v>
      </c>
    </row>
    <row r="8" customFormat="false" ht="31.5" hidden="false" customHeight="true" outlineLevel="0" collapsed="false">
      <c r="A8" s="3" t="s">
        <v>507</v>
      </c>
      <c r="B8" s="3"/>
      <c r="C8" s="3"/>
      <c r="D8" s="3"/>
      <c r="E8" s="3"/>
    </row>
    <row r="9" customFormat="false" ht="31.5" hidden="false" customHeight="true" outlineLevel="0" collapsed="false">
      <c r="A9" s="3" t="s">
        <v>508</v>
      </c>
      <c r="B9" s="3"/>
      <c r="C9" s="3"/>
      <c r="D9" s="3"/>
      <c r="E9" s="3"/>
    </row>
    <row r="10" customFormat="false" ht="31.5" hidden="false" customHeight="true" outlineLevel="0" collapsed="false">
      <c r="A10" s="3" t="s">
        <v>509</v>
      </c>
      <c r="B10" s="3"/>
      <c r="C10" s="3"/>
      <c r="D10" s="3"/>
      <c r="E10" s="3"/>
    </row>
  </sheetData>
  <mergeCells count="3">
    <mergeCell ref="A8:E8"/>
    <mergeCell ref="A9:E9"/>
    <mergeCell ref="A10:E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F3B"/>
    <pageSetUpPr fitToPage="tru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510</v>
      </c>
    </row>
    <row r="3" customFormat="false" ht="31.5" hidden="false" customHeight="true" outlineLevel="0" collapsed="false">
      <c r="A3" s="3" t="s">
        <v>511</v>
      </c>
      <c r="B3" s="3"/>
      <c r="C3" s="3"/>
      <c r="D3" s="3"/>
    </row>
    <row r="4" customFormat="false" ht="31.5" hidden="false" customHeight="true" outlineLevel="0" collapsed="false">
      <c r="A4" s="3" t="s">
        <v>512</v>
      </c>
      <c r="B4" s="3"/>
      <c r="C4" s="3"/>
      <c r="D4" s="3"/>
    </row>
    <row r="5" customFormat="false" ht="31.5" hidden="false" customHeight="true" outlineLevel="0" collapsed="false">
      <c r="A5" s="3" t="s">
        <v>513</v>
      </c>
      <c r="B5" s="3"/>
      <c r="C5" s="3"/>
      <c r="D5" s="3"/>
    </row>
    <row r="6" customFormat="false" ht="31.5" hidden="false" customHeight="true" outlineLevel="0" collapsed="false">
      <c r="A6" s="3" t="s">
        <v>514</v>
      </c>
      <c r="B6" s="3"/>
      <c r="C6" s="3"/>
      <c r="D6" s="3"/>
    </row>
    <row r="7" customFormat="false" ht="31.5" hidden="false" customHeight="true" outlineLevel="0" collapsed="false">
      <c r="A7" s="3" t="s">
        <v>515</v>
      </c>
      <c r="B7" s="3"/>
      <c r="C7" s="3"/>
      <c r="D7" s="3"/>
    </row>
    <row r="8" customFormat="false" ht="31.5" hidden="false" customHeight="true" outlineLevel="0" collapsed="false">
      <c r="A8" s="3" t="s">
        <v>516</v>
      </c>
      <c r="B8" s="3"/>
      <c r="C8" s="3"/>
      <c r="D8" s="3"/>
    </row>
  </sheetData>
  <mergeCells count="6">
    <mergeCell ref="A3:D3"/>
    <mergeCell ref="A4:D4"/>
    <mergeCell ref="A5:D5"/>
    <mergeCell ref="A6:D6"/>
    <mergeCell ref="A7:D7"/>
    <mergeCell ref="A8:D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F3B"/>
    <pageSetUpPr fitToPage="true"/>
  </sheetPr>
  <dimension ref="A1:B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70"/>
  </cols>
  <sheetData>
    <row r="1" customFormat="false" ht="19.7" hidden="false" customHeight="false" outlineLevel="0" collapsed="false">
      <c r="A1" s="1" t="s">
        <v>517</v>
      </c>
    </row>
    <row r="3" customFormat="false" ht="15" hidden="false" customHeight="false" outlineLevel="0" collapsed="false">
      <c r="A3" s="6" t="s">
        <v>518</v>
      </c>
      <c r="B3" s="6" t="s">
        <v>519</v>
      </c>
    </row>
    <row r="4" customFormat="false" ht="15" hidden="false" customHeight="false" outlineLevel="0" collapsed="false">
      <c r="A4" s="7" t="s">
        <v>520</v>
      </c>
      <c r="B4" s="8" t="s">
        <v>521</v>
      </c>
    </row>
    <row r="5" customFormat="false" ht="28.35" hidden="false" customHeight="false" outlineLevel="0" collapsed="false">
      <c r="A5" s="9" t="s">
        <v>522</v>
      </c>
      <c r="B5" s="10" t="s">
        <v>523</v>
      </c>
    </row>
    <row r="6" customFormat="false" ht="28.35" hidden="false" customHeight="false" outlineLevel="0" collapsed="false">
      <c r="A6" s="7" t="s">
        <v>524</v>
      </c>
      <c r="B6" s="8" t="s">
        <v>525</v>
      </c>
    </row>
    <row r="7" customFormat="false" ht="15" hidden="false" customHeight="false" outlineLevel="0" collapsed="false">
      <c r="A7" s="9" t="s">
        <v>526</v>
      </c>
      <c r="B7" s="10" t="s">
        <v>527</v>
      </c>
    </row>
    <row r="8" customFormat="false" ht="15" hidden="false" customHeight="false" outlineLevel="0" collapsed="false">
      <c r="A8" s="7" t="s">
        <v>528</v>
      </c>
      <c r="B8" s="8" t="s">
        <v>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2026-10-08T05:11:32Z</dcterms:created>
  <dc:creator>openpyxl</dc:creator>
  <dc:description/>
  <dc:language>en-US</dc:language>
  <cp:lastModifiedBy/>
  <dcterms:modified xsi:type="dcterms:W3CDTF">2026-10-08T05:11:32Z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